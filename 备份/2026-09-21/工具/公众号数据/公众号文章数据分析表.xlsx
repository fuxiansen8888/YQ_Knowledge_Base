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220" tabRatio="600" firstSheet="0" activeTab="2" autoFilterDateGrouping="1"/>
  </bookViews>
  <sheets>
    <sheet xmlns:r="http://schemas.openxmlformats.org/officeDocument/2006/relationships" name="文章数据记录" sheetId="1" state="visible" r:id="rId1"/>
    <sheet xmlns:r="http://schemas.openxmlformats.org/officeDocument/2006/relationships" name="方向×价值类型透视" sheetId="2" state="visible" r:id="rId2"/>
    <sheet xmlns:r="http://schemas.openxmlformats.org/officeDocument/2006/relationships" name="流量结构透视" sheetId="3" state="visible" r:id="rId3"/>
    <sheet xmlns:r="http://schemas.openxmlformats.org/officeDocument/2006/relationships" name="月度趋势" sheetId="4" state="visible" r:id="rId4"/>
    <sheet xmlns:r="http://schemas.openxmlformats.org/officeDocument/2006/relationships" name="选题库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9">
    <font>
      <name val="宋体"/>
      <charset val="134"/>
      <color theme="1"/>
      <sz val="11"/>
      <scheme val="minor"/>
    </font>
    <font>
      <name val="微软雅黑"/>
      <charset val="134"/>
      <b val="1"/>
      <color rgb="FF1C3A5E"/>
      <sz val="14"/>
    </font>
    <font>
      <name val="微软雅黑"/>
      <charset val="134"/>
      <i val="1"/>
      <color rgb="FF8A94A6"/>
      <sz val="9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b val="1"/>
      <color rgb="FF1C3A5E"/>
      <sz val="11"/>
    </font>
    <font>
      <name val="微软雅黑"/>
      <charset val="134"/>
      <b val="1"/>
      <color rgb="FFFFFFFF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  <font>
      <name val="微软雅黑"/>
      <b val="1"/>
      <color rgb="FF1C3A5E"/>
      <sz val="11"/>
    </font>
    <font>
      <name val="微软雅黑"/>
      <i val="1"/>
      <color rgb="FF8A94A6"/>
      <sz val="9"/>
    </font>
  </fonts>
  <fills count="40">
    <fill>
      <patternFill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rgb="FF59A14F"/>
        <bgColor rgb="FF59A14F"/>
      </patternFill>
    </fill>
    <fill>
      <patternFill patternType="solid">
        <fgColor rgb="FFF28E2B"/>
        <bgColor rgb="FFF28E2B"/>
      </patternFill>
    </fill>
    <fill>
      <patternFill patternType="solid">
        <fgColor rgb="FFE15759"/>
        <bgColor rgb="FFE15759"/>
      </patternFill>
    </fill>
    <fill>
      <patternFill patternType="solid">
        <fgColor rgb="FFB07AA1"/>
        <bgColor rgb="FFB07AA1"/>
      </patternFill>
    </fill>
    <fill>
      <patternFill patternType="solid">
        <fgColor rgb="FF8A94A6"/>
        <bgColor rgb="FF8A94A6"/>
      </patternFill>
    </fill>
    <fill>
      <patternFill patternType="solid">
        <fgColor theme="8"/>
        <bgColor rgb="FF4E79A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9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0" borderId="5" applyAlignment="1">
      <alignment vertical="center"/>
    </xf>
    <xf numFmtId="0" fontId="16" fillId="11" borderId="6" applyAlignment="1">
      <alignment vertical="center"/>
    </xf>
    <xf numFmtId="0" fontId="17" fillId="11" borderId="5" applyAlignment="1">
      <alignment vertical="center"/>
    </xf>
    <xf numFmtId="0" fontId="18" fillId="12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/>
    </xf>
    <xf numFmtId="164" fontId="0" fillId="0" borderId="0" pivotButton="0" quotePrefix="0" xfId="0"/>
    <xf numFmtId="164" fontId="4" fillId="0" borderId="1" applyAlignment="1" pivotButton="0" quotePrefix="0" xfId="0">
      <alignment horizontal="center" vertical="center"/>
    </xf>
    <xf numFmtId="164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/>
    </xf>
    <xf numFmtId="1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4" fontId="26" fillId="0" borderId="0" applyAlignment="1" pivotButton="0" quotePrefix="0" xfId="0">
      <alignment horizontal="center" vertical="center" wrapText="1"/>
    </xf>
    <xf numFmtId="3" fontId="26" fillId="0" borderId="1" applyAlignment="1" pivotButton="0" quotePrefix="0" xfId="0">
      <alignment horizontal="center" vertical="center" wrapText="1"/>
    </xf>
    <xf numFmtId="165" fontId="26" fillId="0" borderId="0" applyAlignment="1" pivotButton="0" quotePrefix="0" xfId="0">
      <alignment horizontal="center" vertical="center" wrapText="1"/>
    </xf>
    <xf numFmtId="3" fontId="26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ZCode</author>
  </authors>
  <commentList>
    <comment ref="A32" authorId="0" shapeId="0">
      <text>
        <t>核心素材（原在《我为什么放弃婚恋赛道》结尾，已移出留给本篇）：
① 他和母亲通电话吵架后，他没劝我，只说"我去跟她说"，在阳台聊了一个多小时，从此我和母亲再没吵过；
② 他被优化那阵，我不让他管家里的任何事，每天早出晚归去图书馆，我什么都不问只把饭做好，说不用急、我们还有积蓄。
这两段是"战友式婚姻"的实证，写本篇时从这里取。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topLeftCell="G1" workbookViewId="0">
      <pane ySplit="5" topLeftCell="A6" activePane="bottomLeft" state="frozen"/>
      <selection activeCell="A1" sqref="A1"/>
      <selection pane="bottomLeft" activeCell="U31" sqref="U31"/>
    </sheetView>
  </sheetViews>
  <sheetFormatPr baseColWidth="8" defaultColWidth="9" defaultRowHeight="16.8"/>
  <cols>
    <col width="6" customWidth="1" min="1" max="1"/>
    <col width="13" customWidth="1" min="2" max="2"/>
    <col width="54.4285714285714" customWidth="1" min="3" max="3"/>
    <col width="8" customWidth="1" min="4" max="4"/>
    <col width="12" customWidth="1" min="5" max="5"/>
    <col width="11" customWidth="1" min="6" max="6"/>
    <col width="13" customWidth="1" min="7" max="7"/>
    <col width="10" customWidth="1" min="8" max="10"/>
    <col width="9" customWidth="1" min="11" max="11"/>
    <col width="10" customWidth="1" min="12" max="12"/>
    <col width="11.1517857142857" customWidth="1" min="13" max="13"/>
    <col width="9" customWidth="1" min="14" max="14"/>
    <col width="12" customWidth="1" min="15" max="15"/>
    <col width="9" customWidth="1" min="16" max="16"/>
    <col width="12" customWidth="1" min="17" max="17"/>
    <col width="9" customWidth="1" min="18" max="18"/>
    <col width="8" customWidth="1" min="19" max="20"/>
    <col width="9" customWidth="1" min="21" max="22"/>
    <col width="12" customWidth="1" min="23" max="24"/>
    <col width="14" customWidth="1" min="25" max="25"/>
    <col width="13" customWidth="1" min="26" max="26"/>
    <col width="10" customWidth="1" min="27" max="27"/>
    <col width="12" customWidth="1" min="28" max="28"/>
  </cols>
  <sheetData>
    <row r="1" ht="35" customHeight="1">
      <c r="A1" s="1" t="inlineStr">
        <is>
          <t>公众号文章数据分析表</t>
        </is>
      </c>
    </row>
    <row r="2" ht="22" customHeight="1">
      <c r="A2" s="15" t="inlineStr">
        <is>
          <t>核心目标读者：25-45岁女性 | 内容方向：生活感悟/育儿育己/深度思考/植物美学/追剧观影</t>
        </is>
      </c>
    </row>
    <row r="3" ht="8" customHeight="1"/>
    <row r="4" ht="28" customHeight="1">
      <c r="A4" s="16" t="inlineStr">
        <is>
          <t>第一层：基础信息</t>
        </is>
      </c>
      <c r="H4" s="16" t="inlineStr">
        <is>
          <t>第二层：流量表现</t>
        </is>
      </c>
      <c r="O4" s="16" t="inlineStr">
        <is>
          <t>第三层：内容质量</t>
        </is>
      </c>
      <c r="S4" s="16" t="inlineStr">
        <is>
          <t>第四层：传播转化</t>
        </is>
      </c>
      <c r="Z4" s="16" t="inlineStr">
        <is>
          <t>第五层：人群匹配</t>
        </is>
      </c>
      <c r="AF4" s="16" t="inlineStr">
        <is>
          <t>第六层：阅读渠道构成</t>
        </is>
      </c>
    </row>
    <row r="5" ht="32" customHeight="1">
      <c r="A5" s="3" t="inlineStr">
        <is>
          <t>序号</t>
        </is>
      </c>
      <c r="B5" s="3" t="inlineStr">
        <is>
          <t>发布日期</t>
        </is>
      </c>
      <c r="C5" s="3" t="inlineStr">
        <is>
          <t>标题</t>
        </is>
      </c>
      <c r="D5" s="3" t="inlineStr">
        <is>
          <t>字数</t>
        </is>
      </c>
      <c r="E5" s="3" t="inlineStr">
        <is>
          <t>内容方向</t>
        </is>
      </c>
      <c r="F5" s="3" t="inlineStr">
        <is>
          <t>人群匹配度</t>
        </is>
      </c>
      <c r="G5" s="3" t="inlineStr">
        <is>
          <t>核心价值类型</t>
        </is>
      </c>
      <c r="H5" s="3" t="inlineStr">
        <is>
          <t>阅读人数</t>
        </is>
      </c>
      <c r="I5" s="3" t="inlineStr">
        <is>
          <t>目标人群阅读量</t>
        </is>
      </c>
      <c r="J5" s="3" t="inlineStr">
        <is>
          <t>送达人数</t>
        </is>
      </c>
      <c r="K5" s="3" t="inlineStr">
        <is>
          <t>公众号消息阅读人数</t>
        </is>
      </c>
      <c r="L5" s="3" t="inlineStr">
        <is>
          <t>首次分享人数</t>
        </is>
      </c>
      <c r="M5" s="3" t="inlineStr">
        <is>
          <t>订阅打开率</t>
        </is>
      </c>
      <c r="N5" s="3" t="inlineStr">
        <is>
          <t>订阅分享率</t>
        </is>
      </c>
      <c r="O5" s="3" t="inlineStr">
        <is>
          <t>完读率</t>
        </is>
      </c>
      <c r="P5" s="3" t="inlineStr">
        <is>
          <t>平均停留时长</t>
        </is>
      </c>
      <c r="Q5" s="3" t="inlineStr">
        <is>
          <t>微信收藏人数</t>
        </is>
      </c>
      <c r="R5" s="3" t="inlineStr">
        <is>
          <t>收藏率</t>
        </is>
      </c>
      <c r="S5" s="3" t="inlineStr">
        <is>
          <t>点赞数</t>
        </is>
      </c>
      <c r="T5" s="3" t="inlineStr">
        <is>
          <t>在看数</t>
        </is>
      </c>
      <c r="U5" s="3" t="inlineStr">
        <is>
          <t>分享人数</t>
        </is>
      </c>
      <c r="V5" s="3" t="inlineStr">
        <is>
          <t>分享率</t>
        </is>
      </c>
      <c r="W5" s="3" t="inlineStr">
        <is>
          <t>分享产生的阅读人数</t>
        </is>
      </c>
      <c r="X5" s="3" t="inlineStr">
        <is>
          <t>分享扩散系数</t>
        </is>
      </c>
      <c r="Y5" s="3" t="inlineStr">
        <is>
          <t>读后关注人数</t>
        </is>
      </c>
      <c r="Z5" s="3" t="inlineStr">
        <is>
          <t>女性读者占比</t>
        </is>
      </c>
      <c r="AA5" s="3" t="inlineStr">
        <is>
          <t>25-45岁读者占比</t>
        </is>
      </c>
      <c r="AB5" s="3" t="inlineStr">
        <is>
          <t>46岁以上占比</t>
        </is>
      </c>
      <c r="AC5" s="3" t="inlineStr">
        <is>
          <t>目标人群匹配度</t>
        </is>
      </c>
      <c r="AD5" s="3" t="inlineStr">
        <is>
          <t>单篇涨粉数</t>
        </is>
      </c>
      <c r="AE5" s="3" t="inlineStr">
        <is>
          <t>涨粉转化率</t>
        </is>
      </c>
      <c r="AF5" s="3" t="inlineStr">
        <is>
          <t>公众号消息占比</t>
        </is>
      </c>
      <c r="AG5" s="3" t="inlineStr">
        <is>
          <t>公众号主页占比</t>
        </is>
      </c>
      <c r="AH5" s="3" t="inlineStr">
        <is>
          <t>聊天会话占比</t>
        </is>
      </c>
      <c r="AI5" s="3" t="inlineStr">
        <is>
          <t>朋友圈占比</t>
        </is>
      </c>
      <c r="AJ5" s="3" t="inlineStr">
        <is>
          <t>朋友在看占比</t>
        </is>
      </c>
      <c r="AK5" s="3" t="inlineStr">
        <is>
          <t>推荐占比</t>
        </is>
      </c>
      <c r="AL5" s="3" t="inlineStr">
        <is>
          <t>搜一搜占比</t>
        </is>
      </c>
      <c r="AM5" s="3" t="inlineStr">
        <is>
          <t>其他占比</t>
        </is>
      </c>
    </row>
    <row r="6" ht="24" customHeight="1">
      <c r="A6" s="9" t="n">
        <v>1</v>
      </c>
      <c r="B6" s="9" t="inlineStr">
        <is>
          <t>2026-09-15</t>
        </is>
      </c>
      <c r="C6" s="9" t="inlineStr">
        <is>
          <t>为什么越提醒，孩子越磨蹭？因为催促本质是一种预设的指责</t>
        </is>
      </c>
      <c r="D6" s="9" t="n"/>
      <c r="E6" s="9" t="inlineStr">
        <is>
          <t>育儿育己</t>
        </is>
      </c>
      <c r="F6" s="9" t="inlineStr">
        <is>
          <t>中匹配</t>
        </is>
      </c>
      <c r="G6" s="9" t="inlineStr">
        <is>
          <t>认知启发</t>
        </is>
      </c>
      <c r="H6" s="9" t="n">
        <v>121</v>
      </c>
      <c r="I6" s="9" t="n">
        <v>39</v>
      </c>
      <c r="J6" s="9" t="n">
        <v>416</v>
      </c>
      <c r="K6" s="9" t="n">
        <v>3</v>
      </c>
      <c r="L6" s="9" t="n">
        <v>1</v>
      </c>
      <c r="M6" s="22">
        <f>IF(OR(J6="",J6=0,K6=""),"",K6/J6)</f>
        <v>0.007211538462</v>
      </c>
      <c r="N6" s="24">
        <f>IF(OR(K6="",K6=0,L6=""),"",L6/K6)</f>
        <v>0.333333333333</v>
      </c>
      <c r="O6" s="24" t="n">
        <v>0.099174</v>
      </c>
      <c r="P6" s="9" t="n">
        <v>65</v>
      </c>
      <c r="Q6" s="9" t="n">
        <v>0</v>
      </c>
      <c r="R6" s="24">
        <f>IF(OR(H6="",H6=0,Q6=""),"",Q6/H6)</f>
        <v>0</v>
      </c>
      <c r="S6" s="9" t="n">
        <v>7</v>
      </c>
      <c r="T6" s="9" t="n">
        <v>5</v>
      </c>
      <c r="U6" s="9" t="n">
        <v>10</v>
      </c>
      <c r="V6" s="24">
        <f>IF(OR(H6="",H6=0,U6=""),"",U6/H6)</f>
        <v>0.082644628099</v>
      </c>
      <c r="W6" s="9" t="n">
        <v>23</v>
      </c>
      <c r="X6" s="33">
        <f>IF(OR(U6="",U6=0,W6=""),"",W6/U6)</f>
        <v>2.3</v>
      </c>
      <c r="Y6" s="9" t="n">
        <v>0</v>
      </c>
      <c r="Z6" s="24" t="n">
        <v>0.6942</v>
      </c>
      <c r="AA6" s="24" t="n">
        <v>0.3224</v>
      </c>
      <c r="AB6" s="24" t="n">
        <v>0.6695</v>
      </c>
      <c r="AC6" s="26" t="str">
        <f>IF(OR(Z6="",AA6=""),"",IF(AND(Z6&gt;=0.6,AA6&gt;=0.5),"高匹配",IF(OR(Z6&gt;=0.6,AA6&gt;=0.5),"中匹配","低匹配")))</f>
        <v>中匹配</v>
      </c>
      <c r="AD6" s="26" t="n">
        <v>0</v>
      </c>
      <c r="AE6" s="25">
        <f>IF(OR(H6="",H6=0,AD6=""),"",AD6/H6)</f>
        <v>0</v>
      </c>
      <c r="AF6" s="34" t="n">
        <v>0.024793</v>
      </c>
      <c r="AG6" s="34" t="n">
        <v>0.008264000000000001</v>
      </c>
      <c r="AH6" s="34" t="n">
        <v>0.057851</v>
      </c>
      <c r="AI6" s="34" t="n">
        <v>0.132231</v>
      </c>
      <c r="AJ6" s="34" t="n">
        <v>0</v>
      </c>
      <c r="AK6" s="34" t="n">
        <v>0.793388</v>
      </c>
      <c r="AL6" s="34" t="n">
        <v>0</v>
      </c>
      <c r="AM6" s="34" t="n">
        <v>0</v>
      </c>
    </row>
    <row r="7" ht="24" customHeight="1">
      <c r="A7" s="9" t="n">
        <v>2</v>
      </c>
      <c r="B7" s="9" t="inlineStr">
        <is>
          <t>2026-09-10</t>
        </is>
      </c>
      <c r="C7" s="9" t="inlineStr">
        <is>
          <t>女儿站在滑梯边不敢开口的那一刻，我终于不再怪自己了</t>
        </is>
      </c>
      <c r="D7" s="9" t="n"/>
      <c r="E7" s="9" t="inlineStr">
        <is>
          <t>育儿育己</t>
        </is>
      </c>
      <c r="F7" s="9" t="inlineStr">
        <is>
          <t>高匹配</t>
        </is>
      </c>
      <c r="G7" s="9" t="inlineStr">
        <is>
          <t>情绪共鸣</t>
        </is>
      </c>
      <c r="H7" s="9" t="n">
        <v>33</v>
      </c>
      <c r="I7" s="9" t="n">
        <v>22</v>
      </c>
      <c r="J7" s="9" t="n">
        <v>415</v>
      </c>
      <c r="K7" s="9" t="n">
        <v>4</v>
      </c>
      <c r="L7" s="9" t="n">
        <v>1</v>
      </c>
      <c r="M7" s="22">
        <f>IF(OR(J7="",J7=0,K7=""),"",K7/J7)</f>
        <v>0.009638554217</v>
      </c>
      <c r="N7" s="24">
        <f>IF(OR(K7="",K7=0,L7=""),"",L7/K7)</f>
        <v>0.25</v>
      </c>
      <c r="O7" s="24" t="n">
        <v>0.424242</v>
      </c>
      <c r="P7" s="9" t="n">
        <v>138</v>
      </c>
      <c r="Q7" s="9" t="n">
        <v>0</v>
      </c>
      <c r="R7" s="24">
        <f>IF(OR(H7="",H7=0,Q7=""),"",Q7/H7)</f>
        <v>0</v>
      </c>
      <c r="S7" s="9" t="n">
        <v>6</v>
      </c>
      <c r="T7" s="9" t="n">
        <v>6</v>
      </c>
      <c r="U7" s="9" t="n">
        <v>5</v>
      </c>
      <c r="V7" s="24">
        <f>IF(OR(H7="",H7=0,U7=""),"",U7/H7)</f>
        <v>0.151515151515</v>
      </c>
      <c r="W7" s="9" t="n">
        <v>26</v>
      </c>
      <c r="X7" s="33">
        <f>IF(OR(U7="",U7=0,W7=""),"",W7/U7)</f>
        <v>5.2</v>
      </c>
      <c r="Y7" s="9" t="n">
        <v>0</v>
      </c>
      <c r="Z7" s="24" t="n">
        <v>0.7879</v>
      </c>
      <c r="AA7" s="24" t="n">
        <v>0.6667</v>
      </c>
      <c r="AB7" s="24" t="n">
        <v>0.303</v>
      </c>
      <c r="AC7" s="26" t="str">
        <f>IF(OR(Z7="",AA7=""),"",IF(AND(Z7&gt;=0.6,AA7&gt;=0.5),"高匹配",IF(OR(Z7&gt;=0.6,AA7&gt;=0.5),"中匹配","低匹配")))</f>
        <v>高匹配</v>
      </c>
      <c r="AD7" s="26" t="n">
        <v>0</v>
      </c>
      <c r="AE7" s="25">
        <f>IF(OR(H7="",H7=0,AD7=""),"",AD7/H7)</f>
        <v>0</v>
      </c>
      <c r="AF7" s="34" t="n">
        <v>0.121212</v>
      </c>
      <c r="AG7" s="34" t="n">
        <v>0.060606</v>
      </c>
      <c r="AH7" s="34" t="n">
        <v>0.151515</v>
      </c>
      <c r="AI7" s="34" t="n">
        <v>0.636364</v>
      </c>
      <c r="AJ7" s="34" t="n">
        <v>0</v>
      </c>
      <c r="AK7" s="34" t="n">
        <v>0.121212</v>
      </c>
      <c r="AL7" s="34" t="n">
        <v>0</v>
      </c>
      <c r="AM7" s="34" t="n">
        <v>0</v>
      </c>
    </row>
    <row r="8" ht="24" customHeight="1">
      <c r="A8" s="9" t="n">
        <v>3</v>
      </c>
      <c r="B8" s="9" t="inlineStr">
        <is>
          <t>2026-09-08</t>
        </is>
      </c>
      <c r="C8" s="9" t="inlineStr">
        <is>
          <t>2岁半女儿宁愿自己不玩，也不肯分享玩具，毛选竟能看懂她的"小气"</t>
        </is>
      </c>
      <c r="D8" s="9" t="n"/>
      <c r="E8" s="9" t="inlineStr">
        <is>
          <t>育儿育己</t>
        </is>
      </c>
      <c r="F8" s="9" t="inlineStr">
        <is>
          <t>低匹配</t>
        </is>
      </c>
      <c r="G8" s="9" t="inlineStr">
        <is>
          <t>认知启发</t>
        </is>
      </c>
      <c r="H8" s="9" t="n">
        <v>378</v>
      </c>
      <c r="I8" s="9" t="n">
        <v>62</v>
      </c>
      <c r="J8" s="9" t="n">
        <v>414</v>
      </c>
      <c r="K8" s="9" t="n">
        <v>10</v>
      </c>
      <c r="L8" s="9" t="n">
        <v>2</v>
      </c>
      <c r="M8" s="22">
        <f>IF(OR(J8="",J8=0,K8=""),"",K8/J8)</f>
        <v>0.024154589372</v>
      </c>
      <c r="N8" s="24">
        <f>IF(OR(K8="",K8=0,L8=""),"",L8/K8)</f>
        <v>0.2</v>
      </c>
      <c r="O8" s="24" t="n">
        <v>0.047619</v>
      </c>
      <c r="P8" s="9" t="n">
        <v>66</v>
      </c>
      <c r="Q8" s="9" t="n">
        <v>0</v>
      </c>
      <c r="R8" s="24">
        <f>IF(OR(H8="",H8=0,Q8=""),"",Q8/H8)</f>
        <v>0</v>
      </c>
      <c r="S8" s="9" t="n">
        <v>5</v>
      </c>
      <c r="T8" s="9" t="n">
        <v>8</v>
      </c>
      <c r="U8" s="9" t="n">
        <v>9</v>
      </c>
      <c r="V8" s="24">
        <f>IF(OR(H8="",H8=0,U8=""),"",U8/H8)</f>
        <v>0.02380952381</v>
      </c>
      <c r="W8" s="9" t="n">
        <v>38</v>
      </c>
      <c r="X8" s="33">
        <f>IF(OR(U8="",U8=0,W8=""),"",W8/U8)</f>
        <v>4.222222222222</v>
      </c>
      <c r="Y8" s="9" t="n">
        <v>0</v>
      </c>
      <c r="Z8" s="24" t="n">
        <v>0.5265</v>
      </c>
      <c r="AA8" s="24" t="n">
        <v>0.164</v>
      </c>
      <c r="AB8" s="24" t="n">
        <v>0.8122</v>
      </c>
      <c r="AC8" s="26" t="str">
        <f>IF(OR(Z8="",AA8=""),"",IF(AND(Z8&gt;=0.6,AA8&gt;=0.5),"高匹配",IF(OR(Z8&gt;=0.6,AA8&gt;=0.5),"中匹配","低匹配")))</f>
        <v>低匹配</v>
      </c>
      <c r="AD8" s="26" t="n">
        <v>0</v>
      </c>
      <c r="AE8" s="25">
        <f>IF(OR(H8="",H8=0,AD8=""),"",AD8/H8)</f>
        <v>0</v>
      </c>
      <c r="AF8" s="34" t="n">
        <v>0.026455</v>
      </c>
      <c r="AG8" s="34" t="n">
        <v>0.007937</v>
      </c>
      <c r="AH8" s="34" t="n">
        <v>0.039683</v>
      </c>
      <c r="AI8" s="34" t="n">
        <v>0.060847</v>
      </c>
      <c r="AJ8" s="34" t="n">
        <v>0</v>
      </c>
      <c r="AK8" s="34" t="n">
        <v>0.865079</v>
      </c>
      <c r="AL8" s="34" t="n">
        <v>0</v>
      </c>
      <c r="AM8" s="34" t="n">
        <v>0.005291</v>
      </c>
    </row>
    <row r="9" ht="24" customHeight="1">
      <c r="A9" s="9" t="n">
        <v>4</v>
      </c>
      <c r="B9" s="9" t="inlineStr">
        <is>
          <t>2026-09-04</t>
        </is>
      </c>
      <c r="C9" s="9" t="inlineStr">
        <is>
          <t>梳妆台前清晨7点的闹钟，正在偷走一个女人的大脑带宽</t>
        </is>
      </c>
      <c r="D9" s="9" t="n"/>
      <c r="E9" s="9" t="inlineStr">
        <is>
          <t>生活感悟</t>
        </is>
      </c>
      <c r="F9" s="9" t="inlineStr">
        <is>
          <t>高匹配</t>
        </is>
      </c>
      <c r="G9" s="9" t="inlineStr">
        <is>
          <t>认知启发</t>
        </is>
      </c>
      <c r="H9" s="9" t="n">
        <v>44</v>
      </c>
      <c r="I9" s="9" t="n">
        <v>27</v>
      </c>
      <c r="J9" s="9" t="n">
        <v>415</v>
      </c>
      <c r="K9" s="9" t="n">
        <v>4</v>
      </c>
      <c r="L9" s="9" t="n">
        <v>0</v>
      </c>
      <c r="M9" s="22">
        <f>IF(OR(J9="",J9=0,K9=""),"",K9/J9)</f>
        <v>0.009638554217</v>
      </c>
      <c r="N9" s="24">
        <f>IF(OR(K9="",K9=0,L9=""),"",L9/K9)</f>
        <v>0</v>
      </c>
      <c r="O9" s="24" t="n">
        <v>0.25</v>
      </c>
      <c r="P9" s="9" t="n">
        <v>128</v>
      </c>
      <c r="Q9" s="9" t="n">
        <v>0</v>
      </c>
      <c r="R9" s="24">
        <f>IF(OR(H9="",H9=0,Q9=""),"",Q9/H9)</f>
        <v>0</v>
      </c>
      <c r="S9" s="9" t="n">
        <v>6</v>
      </c>
      <c r="T9" s="9" t="n">
        <v>5</v>
      </c>
      <c r="U9" s="9" t="n">
        <v>6</v>
      </c>
      <c r="V9" s="24">
        <f>IF(OR(H9="",H9=0,U9=""),"",U9/H9)</f>
        <v>0.136363636364</v>
      </c>
      <c r="W9" s="9" t="n">
        <v>36</v>
      </c>
      <c r="X9" s="33">
        <f>IF(OR(U9="",U9=0,W9=""),"",W9/U9)</f>
        <v>6</v>
      </c>
      <c r="Y9" s="9" t="n">
        <v>0</v>
      </c>
      <c r="Z9" s="24" t="n">
        <v>0.8636</v>
      </c>
      <c r="AA9" s="24" t="n">
        <v>0.6136</v>
      </c>
      <c r="AB9" s="24" t="n">
        <v>0.3636</v>
      </c>
      <c r="AC9" s="26" t="str">
        <f>IF(OR(Z9="",AA9=""),"",IF(AND(Z9&gt;=0.6,AA9&gt;=0.5),"高匹配",IF(OR(Z9&gt;=0.6,AA9&gt;=0.5),"中匹配","低匹配")))</f>
        <v>高匹配</v>
      </c>
      <c r="AD9" s="26" t="n">
        <v>0</v>
      </c>
      <c r="AE9" s="25">
        <f>IF(OR(H9="",H9=0,AD9=""),"",AD9/H9)</f>
        <v>0</v>
      </c>
      <c r="AF9" s="34" t="n">
        <v>0.090909</v>
      </c>
      <c r="AG9" s="34" t="n">
        <v>0.113636</v>
      </c>
      <c r="AH9" s="34" t="n">
        <v>0.113636</v>
      </c>
      <c r="AI9" s="34" t="n">
        <v>0.704545</v>
      </c>
      <c r="AJ9" s="34" t="n">
        <v>0</v>
      </c>
      <c r="AK9" s="34" t="n">
        <v>0.06818200000000001</v>
      </c>
      <c r="AL9" s="34" t="n">
        <v>0</v>
      </c>
      <c r="AM9" s="34" t="n">
        <v>0.022727</v>
      </c>
    </row>
    <row r="10" ht="24" customHeight="1">
      <c r="A10" s="9" t="n">
        <v>5</v>
      </c>
      <c r="B10" s="9" t="inlineStr">
        <is>
          <t>2026-09-02</t>
        </is>
      </c>
      <c r="C10" s="9" t="inlineStr">
        <is>
          <t>更看重精神自由的人：你不是不上进，只是灵魂无法被消费欲驱动</t>
        </is>
      </c>
      <c r="D10" s="9" t="n"/>
      <c r="E10" s="9" t="inlineStr">
        <is>
          <t>生活感悟</t>
        </is>
      </c>
      <c r="F10" s="9" t="inlineStr">
        <is>
          <t>中匹配</t>
        </is>
      </c>
      <c r="G10" s="9" t="inlineStr">
        <is>
          <t>情绪共鸣</t>
        </is>
      </c>
      <c r="H10" s="9" t="n">
        <v>319</v>
      </c>
      <c r="I10" s="9" t="n">
        <v>53</v>
      </c>
      <c r="J10" s="9" t="n">
        <v>413</v>
      </c>
      <c r="K10" s="9" t="n">
        <v>4</v>
      </c>
      <c r="L10" s="9" t="n">
        <v>1</v>
      </c>
      <c r="M10" s="22">
        <f>IF(OR(J10="",J10=0,K10=""),"",K10/J10)</f>
        <v>0.009685230024</v>
      </c>
      <c r="N10" s="24">
        <f>IF(OR(K10="",K10=0,L10=""),"",L10/K10)</f>
        <v>0.25</v>
      </c>
      <c r="O10" s="24" t="n">
        <v>0.040752</v>
      </c>
      <c r="P10" s="9" t="n">
        <v>44</v>
      </c>
      <c r="Q10" s="9" t="n">
        <v>2</v>
      </c>
      <c r="R10" s="24">
        <f>IF(OR(H10="",H10=0,Q10=""),"",Q10/H10)</f>
        <v>0.006269592476</v>
      </c>
      <c r="S10" s="9" t="n">
        <v>5</v>
      </c>
      <c r="T10" s="9" t="n">
        <v>6</v>
      </c>
      <c r="U10" s="9" t="n">
        <v>10</v>
      </c>
      <c r="V10" s="24">
        <f>IF(OR(H10="",H10=0,U10=""),"",U10/H10)</f>
        <v>0.031347962382</v>
      </c>
      <c r="W10" s="9" t="n">
        <v>15</v>
      </c>
      <c r="X10" s="33">
        <f>IF(OR(U10="",U10=0,W10=""),"",W10/U10)</f>
        <v>1.5</v>
      </c>
      <c r="Y10" s="9" t="n">
        <v>1</v>
      </c>
      <c r="Z10" s="24" t="n">
        <v>0.6238</v>
      </c>
      <c r="AA10" s="24" t="n">
        <v>0.1661</v>
      </c>
      <c r="AB10" s="24" t="n">
        <v>0.8056</v>
      </c>
      <c r="AC10" s="26" t="str">
        <f>IF(OR(Z10="",AA10=""),"",IF(AND(Z10&gt;=0.6,AA10&gt;=0.5),"高匹配",IF(OR(Z10&gt;=0.6,AA10&gt;=0.5),"中匹配","低匹配")))</f>
        <v>中匹配</v>
      </c>
      <c r="AD10" s="26" t="n">
        <v>1</v>
      </c>
      <c r="AE10" s="25">
        <f>IF(OR(H10="",H10=0,AD10=""),"",AD10/H10)</f>
        <v>0.003134796238</v>
      </c>
      <c r="AF10" s="34" t="n">
        <v>0.012539</v>
      </c>
      <c r="AG10" s="34" t="n">
        <v>0.015674</v>
      </c>
      <c r="AH10" s="34" t="n">
        <v>0.018809</v>
      </c>
      <c r="AI10" s="34" t="n">
        <v>0.028213</v>
      </c>
      <c r="AJ10" s="34" t="n">
        <v>0</v>
      </c>
      <c r="AK10" s="34" t="n">
        <v>0.9278999999999999</v>
      </c>
      <c r="AL10" s="34" t="n">
        <v>0.003135</v>
      </c>
      <c r="AM10" s="34" t="n">
        <v>0</v>
      </c>
    </row>
    <row r="11" ht="24" customHeight="1">
      <c r="A11" s="9" t="n">
        <v>6</v>
      </c>
      <c r="B11" s="9" t="inlineStr">
        <is>
          <t>2026-08-31</t>
        </is>
      </c>
      <c r="C11" s="9" t="inlineStr">
        <is>
          <t>好友单程1.5小时来找我，我却拒绝了：这一次，我没有编理由</t>
        </is>
      </c>
      <c r="D11" s="9" t="n"/>
      <c r="E11" s="9" t="inlineStr">
        <is>
          <t>生活感悟</t>
        </is>
      </c>
      <c r="F11" s="9" t="inlineStr">
        <is>
          <t>高匹配</t>
        </is>
      </c>
      <c r="G11" s="9" t="inlineStr">
        <is>
          <t>情绪共鸣</t>
        </is>
      </c>
      <c r="H11" s="9" t="n">
        <v>52</v>
      </c>
      <c r="I11" s="9" t="n">
        <v>35</v>
      </c>
      <c r="J11" s="9" t="n">
        <v>413</v>
      </c>
      <c r="K11" s="9" t="n">
        <v>15</v>
      </c>
      <c r="L11" s="9" t="n">
        <v>1</v>
      </c>
      <c r="M11" s="22">
        <f>IF(OR(J11="",J11=0,K11=""),"",K11/J11)</f>
        <v>0.036319612591</v>
      </c>
      <c r="N11" s="24">
        <f>IF(OR(K11="",K11=0,L11=""),"",L11/K11)</f>
        <v>0.066666666667</v>
      </c>
      <c r="O11" s="24" t="n">
        <v>0.384615</v>
      </c>
      <c r="P11" s="9" t="n">
        <v>129</v>
      </c>
      <c r="Q11" s="9" t="n">
        <v>0</v>
      </c>
      <c r="R11" s="24">
        <f>IF(OR(H11="",H11=0,Q11=""),"",Q11/H11)</f>
        <v>0</v>
      </c>
      <c r="S11" s="9" t="n">
        <v>5</v>
      </c>
      <c r="T11" s="9" t="n">
        <v>5</v>
      </c>
      <c r="U11" s="9" t="n">
        <v>5</v>
      </c>
      <c r="V11" s="24">
        <f>IF(OR(H11="",H11=0,U11=""),"",U11/H11)</f>
        <v>0.096153846154</v>
      </c>
      <c r="W11" s="9" t="n">
        <v>22</v>
      </c>
      <c r="X11" s="33">
        <f>IF(OR(U11="",U11=0,W11=""),"",W11/U11)</f>
        <v>4.4</v>
      </c>
      <c r="Y11" s="9" t="n">
        <v>0</v>
      </c>
      <c r="Z11" s="24" t="n">
        <v>0.7308</v>
      </c>
      <c r="AA11" s="24" t="n">
        <v>0.673</v>
      </c>
      <c r="AB11" s="24" t="n">
        <v>0.2692</v>
      </c>
      <c r="AC11" s="26" t="str">
        <f>IF(OR(Z11="",AA11=""),"",IF(AND(Z11&gt;=0.6,AA11&gt;=0.5),"高匹配",IF(OR(Z11&gt;=0.6,AA11&gt;=0.5),"中匹配","低匹配")))</f>
        <v>高匹配</v>
      </c>
      <c r="AD11" s="26" t="n">
        <v>0</v>
      </c>
      <c r="AE11" s="25">
        <f>IF(OR(H11="",H11=0,AD11=""),"",AD11/H11)</f>
        <v>0</v>
      </c>
      <c r="AF11" s="34" t="n">
        <v>0.288462</v>
      </c>
      <c r="AG11" s="34" t="n">
        <v>0.07692300000000001</v>
      </c>
      <c r="AH11" s="34" t="n">
        <v>0.115385</v>
      </c>
      <c r="AI11" s="34" t="n">
        <v>0.307692</v>
      </c>
      <c r="AJ11" s="34" t="n">
        <v>0</v>
      </c>
      <c r="AK11" s="34" t="n">
        <v>0.230769</v>
      </c>
      <c r="AL11" s="34" t="n">
        <v>0</v>
      </c>
      <c r="AM11" s="34" t="n">
        <v>0.019231</v>
      </c>
    </row>
    <row r="12" ht="24" customHeight="1">
      <c r="A12" s="9" t="n">
        <v>7</v>
      </c>
      <c r="B12" s="9" t="inlineStr">
        <is>
          <t>2026-08-27</t>
        </is>
      </c>
      <c r="C12" s="9" t="inlineStr">
        <is>
          <t>《韩立：我救自己万万次》这世上从没有救世主，除了伤痕累累的你</t>
        </is>
      </c>
      <c r="D12" s="9" t="n"/>
      <c r="E12" s="9" t="inlineStr">
        <is>
          <t>生活感悟</t>
        </is>
      </c>
      <c r="F12" s="9" t="inlineStr">
        <is>
          <t>高匹配</t>
        </is>
      </c>
      <c r="G12" s="9" t="inlineStr">
        <is>
          <t>认知启发</t>
        </is>
      </c>
      <c r="H12" s="9" t="n">
        <v>119</v>
      </c>
      <c r="I12" s="9" t="n">
        <v>94</v>
      </c>
      <c r="J12" s="9" t="n">
        <v>402</v>
      </c>
      <c r="K12" s="9" t="n">
        <v>5</v>
      </c>
      <c r="L12" s="9" t="n">
        <v>1</v>
      </c>
      <c r="M12" s="22">
        <f>IF(OR(J12="",J12=0,K12=""),"",K12/J12)</f>
        <v>0.012437810945</v>
      </c>
      <c r="N12" s="24">
        <f>IF(OR(K12="",K12=0,L12=""),"",L12/K12)</f>
        <v>0.2</v>
      </c>
      <c r="O12" s="24" t="n">
        <v>0.159664</v>
      </c>
      <c r="P12" s="9" t="n">
        <v>63</v>
      </c>
      <c r="Q12" s="9" t="n">
        <v>1</v>
      </c>
      <c r="R12" s="24">
        <f>IF(OR(H12="",H12=0,Q12=""),"",Q12/H12)</f>
        <v>0.008403361345</v>
      </c>
      <c r="S12" s="9" t="n">
        <v>7</v>
      </c>
      <c r="T12" s="9" t="n">
        <v>6</v>
      </c>
      <c r="U12" s="9" t="n">
        <v>6</v>
      </c>
      <c r="V12" s="24">
        <f>IF(OR(H12="",H12=0,U12=""),"",U12/H12)</f>
        <v>0.050420168067</v>
      </c>
      <c r="W12" s="9" t="n">
        <v>44</v>
      </c>
      <c r="X12" s="33">
        <f>IF(OR(U12="",U12=0,W12=""),"",W12/U12)</f>
        <v>7.333333333333</v>
      </c>
      <c r="Y12" s="9" t="n">
        <v>1</v>
      </c>
      <c r="Z12" s="24" t="n">
        <v>0.6133999999999999</v>
      </c>
      <c r="AA12" s="24" t="n">
        <v>0.7899</v>
      </c>
      <c r="AB12" s="24" t="n">
        <v>0.168</v>
      </c>
      <c r="AC12" s="26" t="str">
        <f>IF(OR(Z12="",AA12=""),"",IF(AND(Z12&gt;=0.6,AA12&gt;=0.5),"高匹配",IF(OR(Z12&gt;=0.6,AA12&gt;=0.5),"中匹配","低匹配")))</f>
        <v>高匹配</v>
      </c>
      <c r="AD12" s="26" t="n">
        <v>1</v>
      </c>
      <c r="AE12" s="25">
        <f>IF(OR(H12="",H12=0,AD12=""),"",AD12/H12)</f>
        <v>0.008403361345</v>
      </c>
      <c r="AF12" s="34" t="n">
        <v>0.042017</v>
      </c>
      <c r="AG12" s="34" t="n">
        <v>0.016807</v>
      </c>
      <c r="AH12" s="34" t="n">
        <v>0.067227</v>
      </c>
      <c r="AI12" s="34" t="n">
        <v>0.302521</v>
      </c>
      <c r="AJ12" s="34" t="n">
        <v>0</v>
      </c>
      <c r="AK12" s="34" t="n">
        <v>0.5546219999999999</v>
      </c>
      <c r="AL12" s="34" t="n">
        <v>0.05042</v>
      </c>
      <c r="AM12" s="34" t="n">
        <v>0.008403000000000001</v>
      </c>
    </row>
    <row r="13" ht="24" customHeight="1">
      <c r="A13" s="9" t="n">
        <v>8</v>
      </c>
      <c r="B13" s="9" t="inlineStr">
        <is>
          <t>2026-08-25</t>
        </is>
      </c>
      <c r="C13" s="9" t="inlineStr">
        <is>
          <t>接放学没跑第一，3岁女儿大哭：你为什么不第一个接我？</t>
        </is>
      </c>
      <c r="D13" s="9" t="n"/>
      <c r="E13" s="9" t="inlineStr">
        <is>
          <t>育儿育己</t>
        </is>
      </c>
      <c r="F13" s="9" t="inlineStr">
        <is>
          <t>中匹配</t>
        </is>
      </c>
      <c r="G13" s="9" t="inlineStr">
        <is>
          <t>认知启发</t>
        </is>
      </c>
      <c r="H13" s="9" t="n">
        <v>553</v>
      </c>
      <c r="I13" s="9" t="n">
        <v>93</v>
      </c>
      <c r="J13" s="9" t="n">
        <v>402</v>
      </c>
      <c r="K13" s="9" t="n">
        <v>8</v>
      </c>
      <c r="L13" s="9" t="n">
        <v>0</v>
      </c>
      <c r="M13" s="22">
        <f>IF(OR(J13="",J13=0,K13=""),"",K13/J13)</f>
        <v>0.019900497512</v>
      </c>
      <c r="N13" s="24">
        <f>IF(OR(K13="",K13=0,L13=""),"",L13/K13)</f>
        <v>0</v>
      </c>
      <c r="O13" s="24" t="n">
        <v>0.070524</v>
      </c>
      <c r="P13" s="9" t="n">
        <v>72</v>
      </c>
      <c r="Q13" s="9" t="n">
        <v>1</v>
      </c>
      <c r="R13" s="24">
        <f>IF(OR(H13="",H13=0,Q13=""),"",Q13/H13)</f>
        <v>0.001808318264</v>
      </c>
      <c r="S13" s="9" t="n">
        <v>7</v>
      </c>
      <c r="T13" s="9" t="n">
        <v>8</v>
      </c>
      <c r="U13" s="9" t="n">
        <v>5</v>
      </c>
      <c r="V13" s="24">
        <f>IF(OR(H13="",H13=0,U13=""),"",U13/H13)</f>
        <v>0.00904159132</v>
      </c>
      <c r="W13" s="9" t="n">
        <v>43</v>
      </c>
      <c r="X13" s="33">
        <f>IF(OR(U13="",U13=0,W13=""),"",W13/U13)</f>
        <v>8.6</v>
      </c>
      <c r="Y13" s="9" t="n">
        <v>0</v>
      </c>
      <c r="Z13" s="24" t="n">
        <v>0.6835</v>
      </c>
      <c r="AA13" s="24" t="n">
        <v>0.1681</v>
      </c>
      <c r="AB13" s="24" t="n">
        <v>0.792</v>
      </c>
      <c r="AC13" s="26" t="str">
        <f>IF(OR(Z13="",AA13=""),"",IF(AND(Z13&gt;=0.6,AA13&gt;=0.5),"高匹配",IF(OR(Z13&gt;=0.6,AA13&gt;=0.5),"中匹配","低匹配")))</f>
        <v>中匹配</v>
      </c>
      <c r="AD13" s="26" t="n">
        <v>0</v>
      </c>
      <c r="AE13" s="25">
        <f>IF(OR(H13="",H13=0,AD13=""),"",AD13/H13)</f>
        <v>0</v>
      </c>
      <c r="AF13" s="34" t="n">
        <v>0.014467</v>
      </c>
      <c r="AG13" s="34" t="n">
        <v>0.009042</v>
      </c>
      <c r="AH13" s="34" t="n">
        <v>0.01085</v>
      </c>
      <c r="AI13" s="34" t="n">
        <v>0.066908</v>
      </c>
      <c r="AJ13" s="34" t="n">
        <v>0</v>
      </c>
      <c r="AK13" s="34" t="n">
        <v>0.896926</v>
      </c>
      <c r="AL13" s="34" t="n">
        <v>0.001808</v>
      </c>
      <c r="AM13" s="34" t="n">
        <v>0.001808</v>
      </c>
    </row>
    <row r="14" ht="24" customHeight="1">
      <c r="A14" s="9" t="n">
        <v>9</v>
      </c>
      <c r="B14" s="9" t="inlineStr">
        <is>
          <t>2026-08-20</t>
        </is>
      </c>
      <c r="C14" s="9" t="inlineStr">
        <is>
          <t>凌晨2点的夫妻夜谈：“斜杠”，到底是在丰富人生，还是在逃避瓶颈？</t>
        </is>
      </c>
      <c r="D14" s="9" t="n"/>
      <c r="E14" s="9" t="inlineStr">
        <is>
          <t>生活感悟</t>
        </is>
      </c>
      <c r="F14" s="9" t="inlineStr">
        <is>
          <t>中匹配</t>
        </is>
      </c>
      <c r="G14" s="9" t="inlineStr">
        <is>
          <t>认知启发</t>
        </is>
      </c>
      <c r="H14" s="9" t="n">
        <v>131</v>
      </c>
      <c r="I14" s="9" t="n">
        <v>77</v>
      </c>
      <c r="J14" s="9" t="n">
        <v>399</v>
      </c>
      <c r="K14" s="9" t="n">
        <v>14</v>
      </c>
      <c r="L14" s="9" t="n">
        <v>2</v>
      </c>
      <c r="M14" s="22">
        <f>IF(OR(J14="",J14=0,K14=""),"",K14/J14)</f>
        <v>0.035087719298</v>
      </c>
      <c r="N14" s="24">
        <f>IF(OR(K14="",K14=0,L14=""),"",L14/K14)</f>
        <v>0.142857142857</v>
      </c>
      <c r="O14" s="24" t="n">
        <v>0.221374</v>
      </c>
      <c r="P14" s="9" t="n">
        <v>129</v>
      </c>
      <c r="Q14" s="9" t="n">
        <v>3</v>
      </c>
      <c r="R14" s="24">
        <f>IF(OR(H14="",H14=0,Q14=""),"",Q14/H14)</f>
        <v>0.022900763359</v>
      </c>
      <c r="S14" s="9" t="n">
        <v>8</v>
      </c>
      <c r="T14" s="9" t="n">
        <v>6</v>
      </c>
      <c r="U14" s="9" t="n">
        <v>7</v>
      </c>
      <c r="V14" s="24">
        <f>IF(OR(H14="",H14=0,U14=""),"",U14/H14)</f>
        <v>0.053435114504</v>
      </c>
      <c r="W14" s="9" t="n">
        <v>45</v>
      </c>
      <c r="X14" s="33">
        <f>IF(OR(U14="",U14=0,W14=""),"",W14/U14)</f>
        <v>6.428571428571</v>
      </c>
      <c r="Y14" s="9" t="n">
        <v>0</v>
      </c>
      <c r="Z14" s="24" t="n">
        <v>0.5573</v>
      </c>
      <c r="AA14" s="24" t="n">
        <v>0.5877</v>
      </c>
      <c r="AB14" s="24" t="n">
        <v>0.3664</v>
      </c>
      <c r="AC14" s="26" t="str">
        <f>IF(OR(Z14="",AA14=""),"",IF(AND(Z14&gt;=0.6,AA14&gt;=0.5),"高匹配",IF(OR(Z14&gt;=0.6,AA14&gt;=0.5),"中匹配","低匹配")))</f>
        <v>中匹配</v>
      </c>
      <c r="AD14" s="26" t="n">
        <v>0</v>
      </c>
      <c r="AE14" s="25">
        <f>IF(OR(H14="",H14=0,AD14=""),"",AD14/H14)</f>
        <v>0</v>
      </c>
      <c r="AF14" s="34" t="n">
        <v>0.10687</v>
      </c>
      <c r="AG14" s="34" t="n">
        <v>0.091603</v>
      </c>
      <c r="AH14" s="34" t="n">
        <v>0.038168</v>
      </c>
      <c r="AI14" s="34" t="n">
        <v>0.305344</v>
      </c>
      <c r="AJ14" s="34" t="n">
        <v>0</v>
      </c>
      <c r="AK14" s="34" t="n">
        <v>0.48855</v>
      </c>
      <c r="AL14" s="34" t="n">
        <v>0.007634</v>
      </c>
      <c r="AM14" s="34" t="n">
        <v>0.022901</v>
      </c>
    </row>
    <row r="15" ht="24" customHeight="1">
      <c r="A15" s="9" t="n">
        <v>10</v>
      </c>
      <c r="B15" s="9" t="inlineStr">
        <is>
          <t>2026-08-18</t>
        </is>
      </c>
      <c r="C15" s="9" t="inlineStr">
        <is>
          <t>越来越讨厌自己的“好脾气”，直到我翻开《毛选》……</t>
        </is>
      </c>
      <c r="D15" s="9" t="n"/>
      <c r="E15" s="9" t="inlineStr">
        <is>
          <t>生活感悟</t>
        </is>
      </c>
      <c r="F15" s="9" t="inlineStr">
        <is>
          <t>中匹配</t>
        </is>
      </c>
      <c r="G15" s="9" t="inlineStr">
        <is>
          <t>认知启发</t>
        </is>
      </c>
      <c r="H15" s="9" t="n">
        <v>219</v>
      </c>
      <c r="I15" s="9" t="n">
        <v>113</v>
      </c>
      <c r="J15" s="9" t="n">
        <v>398</v>
      </c>
      <c r="K15" s="9" t="n">
        <v>9</v>
      </c>
      <c r="L15" s="9" t="n">
        <v>2</v>
      </c>
      <c r="M15" s="22">
        <f>IF(OR(J15="",J15=0,K15=""),"",K15/J15)</f>
        <v>0.022613065327</v>
      </c>
      <c r="N15" s="24">
        <f>IF(OR(K15="",K15=0,L15=""),"",L15/K15)</f>
        <v>0.222222222222</v>
      </c>
      <c r="O15" s="24" t="n">
        <v>0.118721</v>
      </c>
      <c r="P15" s="9" t="n">
        <v>73</v>
      </c>
      <c r="Q15" s="9" t="n">
        <v>9</v>
      </c>
      <c r="R15" s="24">
        <f>IF(OR(H15="",H15=0,Q15=""),"",Q15/H15)</f>
        <v>0.041095890411</v>
      </c>
      <c r="S15" s="9" t="n">
        <v>13</v>
      </c>
      <c r="T15" s="9" t="n">
        <v>7</v>
      </c>
      <c r="U15" s="9" t="n">
        <v>26</v>
      </c>
      <c r="V15" s="24">
        <f>IF(OR(H15="",H15=0,U15=""),"",U15/H15)</f>
        <v>0.118721461187</v>
      </c>
      <c r="W15" s="9" t="n">
        <v>24</v>
      </c>
      <c r="X15" s="33">
        <f>IF(OR(U15="",U15=0,W15=""),"",W15/U15)</f>
        <v>0.923076923077</v>
      </c>
      <c r="Y15" s="9" t="n">
        <v>3</v>
      </c>
      <c r="Z15" s="24" t="n">
        <v>0.3973</v>
      </c>
      <c r="AA15" s="24" t="n">
        <v>0.516</v>
      </c>
      <c r="AB15" s="24" t="n">
        <v>0.4337</v>
      </c>
      <c r="AC15" s="26" t="str">
        <f>IF(OR(Z15="",AA15=""),"",IF(AND(Z15&gt;=0.6,AA15&gt;=0.5),"高匹配",IF(OR(Z15&gt;=0.6,AA15&gt;=0.5),"中匹配","低匹配")))</f>
        <v>中匹配</v>
      </c>
      <c r="AD15" s="26" t="n">
        <v>3</v>
      </c>
      <c r="AE15" s="25">
        <f>IF(OR(H15="",H15=0,AD15=""),"",AD15/H15)</f>
        <v>0.013698630137</v>
      </c>
      <c r="AF15" s="34" t="n">
        <v>0.041096</v>
      </c>
      <c r="AG15" s="34" t="n">
        <v>0.063927</v>
      </c>
      <c r="AH15" s="34" t="n">
        <v>0.022831</v>
      </c>
      <c r="AI15" s="34" t="n">
        <v>0.086758</v>
      </c>
      <c r="AJ15" s="34" t="n">
        <v>0</v>
      </c>
      <c r="AK15" s="34" t="n">
        <v>0.780822</v>
      </c>
      <c r="AL15" s="34" t="n">
        <v>0</v>
      </c>
      <c r="AM15" s="34" t="n">
        <v>0.022831</v>
      </c>
    </row>
    <row r="16" ht="24" customHeight="1">
      <c r="A16" s="9" t="n">
        <v>11</v>
      </c>
      <c r="B16" s="9" t="inlineStr">
        <is>
          <t>2026-08-13</t>
        </is>
      </c>
      <c r="C16" s="9" t="inlineStr">
        <is>
          <t>为了在北方闻一口花香，我和虫子大战了300回合！</t>
        </is>
      </c>
      <c r="D16" s="9" t="n"/>
      <c r="E16" s="9" t="inlineStr">
        <is>
          <t>植物美学</t>
        </is>
      </c>
      <c r="F16" s="9" t="inlineStr">
        <is>
          <t>中匹配</t>
        </is>
      </c>
      <c r="G16" s="9" t="inlineStr">
        <is>
          <t>审美滋养</t>
        </is>
      </c>
      <c r="H16" s="9" t="n">
        <v>115</v>
      </c>
      <c r="I16" s="9" t="n">
        <v>29</v>
      </c>
      <c r="J16" s="9" t="n">
        <v>396</v>
      </c>
      <c r="K16" s="9" t="n">
        <v>9</v>
      </c>
      <c r="L16" s="9" t="n">
        <v>1</v>
      </c>
      <c r="M16" s="22">
        <f>IF(OR(J16="",J16=0,K16=""),"",K16/J16)</f>
        <v>0.022727272727</v>
      </c>
      <c r="N16" s="24">
        <f>IF(OR(K16="",K16=0,L16=""),"",L16/K16)</f>
        <v>0.111111111111</v>
      </c>
      <c r="O16" s="24" t="n">
        <v>0.286957</v>
      </c>
      <c r="P16" s="9" t="n">
        <v>63</v>
      </c>
      <c r="Q16" s="9" t="n">
        <v>0</v>
      </c>
      <c r="R16" s="24">
        <f>IF(OR(H16="",H16=0,Q16=""),"",Q16/H16)</f>
        <v>0</v>
      </c>
      <c r="S16" s="9" t="n">
        <v>10</v>
      </c>
      <c r="T16" s="9" t="n">
        <v>5</v>
      </c>
      <c r="U16" s="9" t="n">
        <v>6</v>
      </c>
      <c r="V16" s="24">
        <f>IF(OR(H16="",H16=0,U16=""),"",U16/H16)</f>
        <v>0.052173913043</v>
      </c>
      <c r="W16" s="9" t="n">
        <v>19</v>
      </c>
      <c r="X16" s="33">
        <f>IF(OR(U16="",U16=0,W16=""),"",W16/U16)</f>
        <v>3.166666666667</v>
      </c>
      <c r="Y16" s="9" t="n">
        <v>1</v>
      </c>
      <c r="Z16" s="24" t="n">
        <v>0.7217</v>
      </c>
      <c r="AA16" s="24" t="n">
        <v>0.2521</v>
      </c>
      <c r="AB16" s="24" t="n">
        <v>0.713</v>
      </c>
      <c r="AC16" s="26" t="str">
        <f>IF(OR(Z16="",AA16=""),"",IF(AND(Z16&gt;=0.6,AA16&gt;=0.5),"高匹配",IF(OR(Z16&gt;=0.6,AA16&gt;=0.5),"中匹配","低匹配")))</f>
        <v>中匹配</v>
      </c>
      <c r="AD16" s="26" t="n">
        <v>1</v>
      </c>
      <c r="AE16" s="25">
        <f>IF(OR(H16="",H16=0,AD16=""),"",AD16/H16)</f>
        <v>0.008695652174</v>
      </c>
      <c r="AF16" s="34" t="n">
        <v>0.078261</v>
      </c>
      <c r="AG16" s="34" t="n">
        <v>0.069565</v>
      </c>
      <c r="AH16" s="34" t="n">
        <v>0.052174</v>
      </c>
      <c r="AI16" s="34" t="n">
        <v>0.113043</v>
      </c>
      <c r="AJ16" s="34" t="n">
        <v>0</v>
      </c>
      <c r="AK16" s="34" t="n">
        <v>0.704348</v>
      </c>
      <c r="AL16" s="34" t="n">
        <v>0.008696000000000001</v>
      </c>
      <c r="AM16" s="34" t="n">
        <v>0.008696000000000001</v>
      </c>
    </row>
    <row r="17" ht="24" customHeight="1">
      <c r="A17" s="9" t="n">
        <v>12</v>
      </c>
      <c r="B17" s="9" t="inlineStr">
        <is>
          <t>2026-08-02</t>
        </is>
      </c>
      <c r="C17" s="9" t="inlineStr">
        <is>
          <t>太好了，我才35岁！｜写在35岁生日</t>
        </is>
      </c>
      <c r="D17" s="9" t="n"/>
      <c r="E17" s="9" t="inlineStr">
        <is>
          <t>生活感悟</t>
        </is>
      </c>
      <c r="F17" s="9" t="inlineStr">
        <is>
          <t>高匹配</t>
        </is>
      </c>
      <c r="G17" s="9" t="inlineStr">
        <is>
          <t>情绪共鸣</t>
        </is>
      </c>
      <c r="H17" s="9" t="n">
        <v>90</v>
      </c>
      <c r="I17" s="9" t="n">
        <v>68</v>
      </c>
      <c r="J17" s="9" t="n">
        <v>396</v>
      </c>
      <c r="K17" s="9" t="n">
        <v>10</v>
      </c>
      <c r="L17" s="9" t="n">
        <v>2</v>
      </c>
      <c r="M17" s="22">
        <f>IF(OR(J17="",J17=0,K17=""),"",K17/J17)</f>
        <v>0.025252525253</v>
      </c>
      <c r="N17" s="24">
        <f>IF(OR(K17="",K17=0,L17=""),"",L17/K17)</f>
        <v>0.2</v>
      </c>
      <c r="O17" s="24" t="n">
        <v>0.477778</v>
      </c>
      <c r="P17" s="9" t="n">
        <v>63</v>
      </c>
      <c r="Q17" s="9" t="n">
        <v>1</v>
      </c>
      <c r="R17" s="24">
        <f>IF(OR(H17="",H17=0,Q17=""),"",Q17/H17)</f>
        <v>0.011111111111</v>
      </c>
      <c r="S17" s="9" t="n">
        <v>6</v>
      </c>
      <c r="T17" s="9" t="n">
        <v>5</v>
      </c>
      <c r="U17" s="9" t="n">
        <v>6</v>
      </c>
      <c r="V17" s="24">
        <f>IF(OR(H17="",H17=0,U17=""),"",U17/H17)</f>
        <v>0.066666666667</v>
      </c>
      <c r="W17" s="9" t="n">
        <v>54</v>
      </c>
      <c r="X17" s="33">
        <f>IF(OR(U17="",U17=0,W17=""),"",W17/U17)</f>
        <v>9</v>
      </c>
      <c r="Y17" s="9" t="n">
        <v>0</v>
      </c>
      <c r="Z17" s="24" t="n">
        <v>0.7222</v>
      </c>
      <c r="AA17" s="24" t="n">
        <v>0.7556</v>
      </c>
      <c r="AB17" s="24" t="n">
        <v>0.2111</v>
      </c>
      <c r="AC17" s="26" t="str">
        <f>IF(OR(Z17="",AA17=""),"",IF(AND(Z17&gt;=0.6,AA17&gt;=0.5),"高匹配",IF(OR(Z17&gt;=0.6,AA17&gt;=0.5),"中匹配","低匹配")))</f>
        <v>高匹配</v>
      </c>
      <c r="AD17" s="26" t="n">
        <v>0</v>
      </c>
      <c r="AE17" s="25">
        <f>IF(OR(H17="",H17=0,AD17=""),"",AD17/H17)</f>
        <v>0</v>
      </c>
      <c r="AF17" s="34" t="n">
        <v>0.111111</v>
      </c>
      <c r="AG17" s="34" t="n">
        <v>0.088889</v>
      </c>
      <c r="AH17" s="34" t="n">
        <v>0.077778</v>
      </c>
      <c r="AI17" s="34" t="n">
        <v>0.522222</v>
      </c>
      <c r="AJ17" s="34" t="n">
        <v>0</v>
      </c>
      <c r="AK17" s="34" t="n">
        <v>0.188889</v>
      </c>
      <c r="AL17" s="34" t="n">
        <v>0.022222</v>
      </c>
      <c r="AM17" s="34" t="n">
        <v>0.033333</v>
      </c>
    </row>
    <row r="18" ht="24" customHeight="1">
      <c r="A18" s="9" t="n">
        <v>13</v>
      </c>
      <c r="B18" s="9" t="inlineStr">
        <is>
          <t>2026-07-28</t>
        </is>
      </c>
      <c r="C18" s="9" t="inlineStr">
        <is>
          <t>LV诉奶茶店背后：老祖宗的纹样，不该由别人来定义——普通人能做的5个文化守护行动</t>
        </is>
      </c>
      <c r="D18" s="9" t="n"/>
      <c r="E18" s="9" t="inlineStr">
        <is>
          <t>生活感悟</t>
        </is>
      </c>
      <c r="F18" s="9" t="inlineStr">
        <is>
          <t>高匹配</t>
        </is>
      </c>
      <c r="G18" s="9" t="inlineStr">
        <is>
          <t>实用方法</t>
        </is>
      </c>
      <c r="H18" s="9" t="n">
        <v>117</v>
      </c>
      <c r="I18" s="9" t="n">
        <v>71</v>
      </c>
      <c r="J18" s="9" t="n">
        <v>398</v>
      </c>
      <c r="K18" s="9" t="n">
        <v>11</v>
      </c>
      <c r="L18" s="9" t="n">
        <v>2</v>
      </c>
      <c r="M18" s="22">
        <f>IF(OR(J18="",J18=0,K18=""),"",K18/J18)</f>
        <v>0.027638190955</v>
      </c>
      <c r="N18" s="24">
        <f>IF(OR(K18="",K18=0,L18=""),"",L18/K18)</f>
        <v>0.181818181818</v>
      </c>
      <c r="O18" s="24" t="n">
        <v>0.230769</v>
      </c>
      <c r="P18" s="9" t="n">
        <v>96</v>
      </c>
      <c r="Q18" s="9" t="n">
        <v>1</v>
      </c>
      <c r="R18" s="24">
        <f>IF(OR(H18="",H18=0,Q18=""),"",Q18/H18)</f>
        <v>0.008547008547</v>
      </c>
      <c r="S18" s="9" t="n">
        <v>12</v>
      </c>
      <c r="T18" s="9" t="n">
        <v>7</v>
      </c>
      <c r="U18" s="9" t="n">
        <v>7</v>
      </c>
      <c r="V18" s="24">
        <f>IF(OR(H18="",H18=0,U18=""),"",U18/H18)</f>
        <v>0.059829059829</v>
      </c>
      <c r="W18" s="9" t="n">
        <v>52</v>
      </c>
      <c r="X18" s="33">
        <f>IF(OR(U18="",U18=0,W18=""),"",W18/U18)</f>
        <v>7.428571428571</v>
      </c>
      <c r="Y18" s="9" t="n">
        <v>0</v>
      </c>
      <c r="Z18" s="24" t="n">
        <v>0.6068</v>
      </c>
      <c r="AA18" s="24" t="n">
        <v>0.6068</v>
      </c>
      <c r="AB18" s="24" t="n">
        <v>0.3675</v>
      </c>
      <c r="AC18" s="26" t="str">
        <f>IF(OR(Z18="",AA18=""),"",IF(AND(Z18&gt;=0.6,AA18&gt;=0.5),"高匹配",IF(OR(Z18&gt;=0.6,AA18&gt;=0.5),"中匹配","低匹配")))</f>
        <v>高匹配</v>
      </c>
      <c r="AD18" s="26" t="n">
        <v>0</v>
      </c>
      <c r="AE18" s="25">
        <f>IF(OR(H18="",H18=0,AD18=""),"",AD18/H18)</f>
        <v>0</v>
      </c>
      <c r="AF18" s="34" t="n">
        <v>0.094017</v>
      </c>
      <c r="AG18" s="34" t="n">
        <v>0.051282</v>
      </c>
      <c r="AH18" s="34" t="n">
        <v>0.06837600000000001</v>
      </c>
      <c r="AI18" s="34" t="n">
        <v>0.376068</v>
      </c>
      <c r="AJ18" s="34" t="n">
        <v>0</v>
      </c>
      <c r="AK18" s="34" t="n">
        <v>0.42735</v>
      </c>
      <c r="AL18" s="34" t="n">
        <v>0.025641</v>
      </c>
      <c r="AM18" s="34" t="n">
        <v>0.042735</v>
      </c>
    </row>
    <row r="19" ht="24" customHeight="1">
      <c r="A19" s="9" t="n">
        <v>14</v>
      </c>
      <c r="B19" s="9" t="inlineStr">
        <is>
          <t>2026-05-20</t>
        </is>
      </c>
      <c r="C19" s="9" t="inlineStr">
        <is>
          <t>倍速时代，为什么还要花钱进影院？——《给阿嬷的情书》给我的答案</t>
        </is>
      </c>
      <c r="D19" s="9" t="n"/>
      <c r="E19" s="9" t="inlineStr">
        <is>
          <t>追剧观影</t>
        </is>
      </c>
      <c r="F19" s="9" t="inlineStr">
        <is>
          <t>中匹配</t>
        </is>
      </c>
      <c r="G19" s="9" t="inlineStr">
        <is>
          <t>认知启发</t>
        </is>
      </c>
      <c r="H19" s="9" t="n">
        <v>273</v>
      </c>
      <c r="I19" s="9" t="n">
        <v>159</v>
      </c>
      <c r="J19" s="9" t="n">
        <v>400</v>
      </c>
      <c r="K19" s="9" t="n">
        <v>7</v>
      </c>
      <c r="L19" s="9" t="n">
        <v>2</v>
      </c>
      <c r="M19" s="22">
        <f>IF(OR(J19="",J19=0,K19=""),"",K19/J19)</f>
        <v>0.0175</v>
      </c>
      <c r="N19" s="24">
        <f>IF(OR(K19="",K19=0,L19=""),"",L19/K19)</f>
        <v>0.285714285714</v>
      </c>
      <c r="O19" s="24" t="n">
        <v>0.21978</v>
      </c>
      <c r="P19" s="9" t="n">
        <v>84</v>
      </c>
      <c r="Q19" s="9" t="n">
        <v>2</v>
      </c>
      <c r="R19" s="24">
        <f>IF(OR(H19="",H19=0,Q19=""),"",Q19/H19)</f>
        <v>0.007326007326</v>
      </c>
      <c r="S19" s="9" t="n">
        <v>11</v>
      </c>
      <c r="T19" s="9" t="n">
        <v>8</v>
      </c>
      <c r="U19" s="9" t="n">
        <v>19</v>
      </c>
      <c r="V19" s="24">
        <f>IF(OR(H19="",H19=0,U19=""),"",U19/H19)</f>
        <v>0.069597069597</v>
      </c>
      <c r="W19" s="9" t="n">
        <v>38</v>
      </c>
      <c r="X19" s="33">
        <f>IF(OR(U19="",U19=0,W19=""),"",W19/U19)</f>
        <v>2</v>
      </c>
      <c r="Y19" s="9" t="n">
        <v>2</v>
      </c>
      <c r="Z19" s="24" t="n">
        <v>0.5641</v>
      </c>
      <c r="AA19" s="24" t="n">
        <v>0.5824</v>
      </c>
      <c r="AB19" s="24" t="n">
        <v>0.37</v>
      </c>
      <c r="AC19" s="26" t="str">
        <f>IF(OR(Z19="",AA19=""),"",IF(AND(Z19&gt;=0.6,AA19&gt;=0.5),"高匹配",IF(OR(Z19&gt;=0.6,AA19&gt;=0.5),"中匹配","低匹配")))</f>
        <v>中匹配</v>
      </c>
      <c r="AD19" s="26" t="n">
        <v>2</v>
      </c>
      <c r="AE19" s="25">
        <f>IF(OR(H19="",H19=0,AD19=""),"",AD19/H19)</f>
        <v>0.007326007326</v>
      </c>
      <c r="AF19" s="34" t="n">
        <v>0.025641</v>
      </c>
      <c r="AG19" s="34" t="n">
        <v>0.003663</v>
      </c>
      <c r="AH19" s="34" t="n">
        <v>0.021978</v>
      </c>
      <c r="AI19" s="34" t="n">
        <v>0.117216</v>
      </c>
      <c r="AJ19" s="34" t="n">
        <v>0</v>
      </c>
      <c r="AK19" s="34" t="n">
        <v>0.838828</v>
      </c>
      <c r="AL19" s="34" t="n">
        <v>0.007326</v>
      </c>
      <c r="AM19" s="34" t="n">
        <v>0.003663</v>
      </c>
    </row>
    <row r="20" ht="24" customHeight="1">
      <c r="A20" s="9" t="n">
        <v>15</v>
      </c>
      <c r="B20" s="9" t="inlineStr">
        <is>
          <t>2026-03-17</t>
        </is>
      </c>
      <c r="C20" s="9" t="inlineStr">
        <is>
          <t>《送女儿上幼儿园第一天，我忽然读懂了三十年前的妈妈》</t>
        </is>
      </c>
      <c r="D20" s="9" t="n"/>
      <c r="E20" s="9" t="inlineStr">
        <is>
          <t>育儿育己</t>
        </is>
      </c>
      <c r="F20" s="9" t="inlineStr">
        <is>
          <t>高匹配</t>
        </is>
      </c>
      <c r="G20" s="9" t="inlineStr">
        <is>
          <t>情绪共鸣</t>
        </is>
      </c>
      <c r="H20" s="9" t="n">
        <v>164</v>
      </c>
      <c r="I20" s="9" t="n">
        <v>112</v>
      </c>
      <c r="J20" s="9" t="n">
        <v>401</v>
      </c>
      <c r="K20" s="9" t="n">
        <v>10</v>
      </c>
      <c r="L20" s="9" t="n">
        <v>1</v>
      </c>
      <c r="M20" s="22">
        <f>IF(OR(J20="",J20=0,K20=""),"",K20/J20)</f>
        <v>0.02493765586</v>
      </c>
      <c r="N20" s="24">
        <f>IF(OR(K20="",K20=0,L20=""),"",L20/K20)</f>
        <v>0.1</v>
      </c>
      <c r="O20" s="24" t="n">
        <v>0.396341</v>
      </c>
      <c r="P20" s="9" t="n">
        <v>104</v>
      </c>
      <c r="Q20" s="9" t="n">
        <v>0</v>
      </c>
      <c r="R20" s="24">
        <f>IF(OR(H20="",H20=0,Q20=""),"",Q20/H20)</f>
        <v>0</v>
      </c>
      <c r="S20" s="9" t="n">
        <v>10</v>
      </c>
      <c r="T20" s="9" t="n">
        <v>11</v>
      </c>
      <c r="U20" s="9" t="n">
        <v>8</v>
      </c>
      <c r="V20" s="24">
        <f>IF(OR(H20="",H20=0,U20=""),"",U20/H20)</f>
        <v>0.048780487805</v>
      </c>
      <c r="W20" s="9" t="n">
        <v>92</v>
      </c>
      <c r="X20" s="33">
        <f>IF(OR(U20="",U20=0,W20=""),"",W20/U20)</f>
        <v>11.5</v>
      </c>
      <c r="Y20" s="9" t="n">
        <v>1</v>
      </c>
      <c r="Z20" s="24" t="n">
        <v>0.7988</v>
      </c>
      <c r="AA20" s="24" t="n">
        <v>0.6829</v>
      </c>
      <c r="AB20" s="24" t="n">
        <v>0.2622</v>
      </c>
      <c r="AC20" s="26" t="str">
        <f>IF(OR(Z20="",AA20=""),"",IF(AND(Z20&gt;=0.6,AA20&gt;=0.5),"高匹配",IF(OR(Z20&gt;=0.6,AA20&gt;=0.5),"中匹配","低匹配")))</f>
        <v>高匹配</v>
      </c>
      <c r="AD20" s="26" t="n">
        <v>1</v>
      </c>
      <c r="AE20" s="25">
        <f>IF(OR(H20="",H20=0,AD20=""),"",AD20/H20)</f>
        <v>0.006097560976</v>
      </c>
      <c r="AF20" s="34" t="n">
        <v>0.060976</v>
      </c>
      <c r="AG20" s="34" t="n">
        <v>0.012195</v>
      </c>
      <c r="AH20" s="34" t="n">
        <v>0.054878</v>
      </c>
      <c r="AI20" s="34" t="n">
        <v>0.506098</v>
      </c>
      <c r="AJ20" s="34" t="n">
        <v>0</v>
      </c>
      <c r="AK20" s="34" t="n">
        <v>0.396341</v>
      </c>
      <c r="AL20" s="34" t="n">
        <v>0.012195</v>
      </c>
      <c r="AM20" s="34" t="n">
        <v>0.006098</v>
      </c>
    </row>
    <row r="21" ht="24" customHeight="1">
      <c r="A21" s="9" t="n">
        <v>16</v>
      </c>
      <c r="B21" s="9" t="inlineStr">
        <is>
          <t>2026-03-04</t>
        </is>
      </c>
      <c r="C21" s="9" t="inlineStr">
        <is>
          <t>为什么一句“你看姐姐多勇敢”，会让3岁女儿瞬间崩溃大哭？</t>
        </is>
      </c>
      <c r="D21" s="9" t="n"/>
      <c r="E21" s="9" t="inlineStr">
        <is>
          <t>育儿育己</t>
        </is>
      </c>
      <c r="F21" s="9" t="inlineStr">
        <is>
          <t>高匹配</t>
        </is>
      </c>
      <c r="G21" s="9" t="inlineStr">
        <is>
          <t>认知启发</t>
        </is>
      </c>
      <c r="H21" s="9" t="n">
        <v>129</v>
      </c>
      <c r="I21" s="9" t="n">
        <v>68</v>
      </c>
      <c r="J21" s="9" t="n">
        <v>392</v>
      </c>
      <c r="K21" s="9" t="n">
        <v>8</v>
      </c>
      <c r="L21" s="9" t="n">
        <v>1</v>
      </c>
      <c r="M21" s="22">
        <f>IF(OR(J21="",J21=0,K21=""),"",K21/J21)</f>
        <v>0.020408163265</v>
      </c>
      <c r="N21" s="24">
        <f>IF(OR(K21="",K21=0,L21=""),"",L21/K21)</f>
        <v>0.125</v>
      </c>
      <c r="O21" s="24" t="n">
        <v>0.224806</v>
      </c>
      <c r="P21" s="9" t="n">
        <v>91</v>
      </c>
      <c r="Q21" s="9" t="n">
        <v>0</v>
      </c>
      <c r="R21" s="24">
        <f>IF(OR(H21="",H21=0,Q21=""),"",Q21/H21)</f>
        <v>0</v>
      </c>
      <c r="S21" s="9" t="n">
        <v>9</v>
      </c>
      <c r="T21" s="9" t="n">
        <v>6</v>
      </c>
      <c r="U21" s="9" t="n">
        <v>11</v>
      </c>
      <c r="V21" s="24">
        <f>IF(OR(H21="",H21=0,U21=""),"",U21/H21)</f>
        <v>0.085271317829</v>
      </c>
      <c r="W21" s="9" t="n">
        <v>49</v>
      </c>
      <c r="X21" s="33">
        <f>IF(OR(U21="",U21=0,W21=""),"",W21/U21)</f>
        <v>4.454545454545</v>
      </c>
      <c r="Y21" s="9" t="n">
        <v>0</v>
      </c>
      <c r="Z21" s="24" t="n">
        <v>0.6512</v>
      </c>
      <c r="AA21" s="24" t="n">
        <v>0.5272</v>
      </c>
      <c r="AB21" s="24" t="n">
        <v>0.3877</v>
      </c>
      <c r="AC21" s="26" t="str">
        <f>IF(OR(Z21="",AA21=""),"",IF(AND(Z21&gt;=0.6,AA21&gt;=0.5),"高匹配",IF(OR(Z21&gt;=0.6,AA21&gt;=0.5),"中匹配","低匹配")))</f>
        <v>高匹配</v>
      </c>
      <c r="AD21" s="26" t="n">
        <v>0</v>
      </c>
      <c r="AE21" s="25">
        <f>IF(OR(H21="",H21=0,AD21=""),"",AD21/H21)</f>
        <v>0</v>
      </c>
      <c r="AF21" s="34" t="n">
        <v>0.062016</v>
      </c>
      <c r="AG21" s="34" t="n">
        <v>0.062016</v>
      </c>
      <c r="AH21" s="34" t="n">
        <v>0.09302299999999999</v>
      </c>
      <c r="AI21" s="34" t="n">
        <v>0.286822</v>
      </c>
      <c r="AJ21" s="34" t="n">
        <v>0</v>
      </c>
      <c r="AK21" s="34" t="n">
        <v>0.511628</v>
      </c>
      <c r="AL21" s="34" t="n">
        <v>0.007752</v>
      </c>
      <c r="AM21" s="34" t="n">
        <v>0.015504</v>
      </c>
    </row>
    <row r="22" ht="24" customHeight="1">
      <c r="A22" s="9" t="n">
        <v>17</v>
      </c>
      <c r="B22" s="9" t="inlineStr">
        <is>
          <t>2026-02-08</t>
        </is>
      </c>
      <c r="C22" s="9" t="inlineStr">
        <is>
          <t>谁规定人必须全年开花？树都知道要落叶啊！</t>
        </is>
      </c>
      <c r="D22" s="9" t="n"/>
      <c r="E22" s="9" t="inlineStr">
        <is>
          <t>植物美学</t>
        </is>
      </c>
      <c r="F22" s="9" t="inlineStr">
        <is>
          <t>高匹配</t>
        </is>
      </c>
      <c r="G22" s="9" t="inlineStr">
        <is>
          <t>认知启发</t>
        </is>
      </c>
      <c r="H22" s="9" t="n">
        <v>63</v>
      </c>
      <c r="I22" s="9" t="n">
        <v>36</v>
      </c>
      <c r="J22" s="9" t="n">
        <v>326</v>
      </c>
      <c r="K22" s="9" t="n">
        <v>6</v>
      </c>
      <c r="L22" s="9" t="n">
        <v>1</v>
      </c>
      <c r="M22" s="22">
        <f>IF(OR(J22="",J22=0,K22=""),"",K22/J22)</f>
        <v>0.018404907975</v>
      </c>
      <c r="N22" s="24">
        <f>IF(OR(K22="",K22=0,L22=""),"",L22/K22)</f>
        <v>0.166666666667</v>
      </c>
      <c r="O22" s="24" t="n">
        <v>0.460317</v>
      </c>
      <c r="P22" s="9" t="n">
        <v>97</v>
      </c>
      <c r="Q22" s="9" t="n">
        <v>0</v>
      </c>
      <c r="R22" s="24">
        <f>IF(OR(H22="",H22=0,Q22=""),"",Q22/H22)</f>
        <v>0</v>
      </c>
      <c r="S22" s="9" t="n">
        <v>10</v>
      </c>
      <c r="T22" s="9" t="n">
        <v>7</v>
      </c>
      <c r="U22" s="9" t="n">
        <v>7</v>
      </c>
      <c r="V22" s="24">
        <f>IF(OR(H22="",H22=0,U22=""),"",U22/H22)</f>
        <v>0.111111111111</v>
      </c>
      <c r="W22" s="9" t="n">
        <v>33</v>
      </c>
      <c r="X22" s="33">
        <f>IF(OR(U22="",U22=0,W22=""),"",W22/U22)</f>
        <v>4.714285714286</v>
      </c>
      <c r="Y22" s="9" t="n">
        <v>1</v>
      </c>
      <c r="Z22" s="24" t="n">
        <v>0.7302</v>
      </c>
      <c r="AA22" s="24" t="n">
        <v>0.5714</v>
      </c>
      <c r="AB22" s="24" t="n">
        <v>0.3334</v>
      </c>
      <c r="AC22" s="26" t="str">
        <f>IF(OR(Z22="",AA22=""),"",IF(AND(Z22&gt;=0.6,AA22&gt;=0.5),"高匹配",IF(OR(Z22&gt;=0.6,AA22&gt;=0.5),"中匹配","低匹配")))</f>
        <v>高匹配</v>
      </c>
      <c r="AD22" s="26" t="n">
        <v>1</v>
      </c>
      <c r="AE22" s="25">
        <f>IF(OR(H22="",H22=0,AD22=""),"",AD22/H22)</f>
        <v>0.015873015873</v>
      </c>
      <c r="AF22" s="34" t="n">
        <v>0.095238</v>
      </c>
      <c r="AG22" s="34" t="n">
        <v>0.238095</v>
      </c>
      <c r="AH22" s="34" t="n">
        <v>0.095238</v>
      </c>
      <c r="AI22" s="34" t="n">
        <v>0.428571</v>
      </c>
      <c r="AJ22" s="34" t="n">
        <v>0</v>
      </c>
      <c r="AK22" s="34" t="n">
        <v>0.06349200000000001</v>
      </c>
      <c r="AL22" s="34" t="n">
        <v>0.015873</v>
      </c>
      <c r="AM22" s="34" t="n">
        <v>0.142857</v>
      </c>
    </row>
    <row r="23" ht="24" customHeight="1">
      <c r="A23" s="9" t="n">
        <v>18</v>
      </c>
      <c r="B23" s="9" t="inlineStr">
        <is>
          <t>2026-02-04</t>
        </is>
      </c>
      <c r="C23" s="9" t="inlineStr">
        <is>
          <t>姐姐是喜欢你呀！”——这句话，正在悄悄剥夺3岁孩子说“不”的权利</t>
        </is>
      </c>
      <c r="D23" s="9" t="n"/>
      <c r="E23" s="9" t="inlineStr">
        <is>
          <t>育儿育己</t>
        </is>
      </c>
      <c r="F23" s="9" t="inlineStr">
        <is>
          <t>高匹配</t>
        </is>
      </c>
      <c r="G23" s="9" t="inlineStr">
        <is>
          <t>认知启发</t>
        </is>
      </c>
      <c r="H23" s="9" t="n">
        <v>256</v>
      </c>
      <c r="I23" s="9" t="n">
        <v>175</v>
      </c>
      <c r="J23" s="9" t="n">
        <v>316</v>
      </c>
      <c r="K23" s="9" t="n">
        <v>14</v>
      </c>
      <c r="L23" s="9" t="n">
        <v>2</v>
      </c>
      <c r="M23" s="22">
        <f>IF(OR(J23="",J23=0,K23=""),"",K23/J23)</f>
        <v>0.044303797468</v>
      </c>
      <c r="N23" s="24">
        <f>IF(OR(K23="",K23=0,L23=""),"",L23/K23)</f>
        <v>0.142857142857</v>
      </c>
      <c r="O23" s="24" t="n">
        <v>0.222656</v>
      </c>
      <c r="P23" s="9" t="n">
        <v>79</v>
      </c>
      <c r="Q23" s="9" t="n">
        <v>0</v>
      </c>
      <c r="R23" s="24">
        <f>IF(OR(H23="",H23=0,Q23=""),"",Q23/H23)</f>
        <v>0</v>
      </c>
      <c r="S23" s="9" t="n">
        <v>7</v>
      </c>
      <c r="T23" s="9" t="n">
        <v>9</v>
      </c>
      <c r="U23" s="9" t="n">
        <v>8</v>
      </c>
      <c r="V23" s="24">
        <f>IF(OR(H23="",H23=0,U23=""),"",U23/H23)</f>
        <v>0.03125</v>
      </c>
      <c r="W23" s="9" t="n">
        <v>30</v>
      </c>
      <c r="X23" s="33">
        <f>IF(OR(U23="",U23=0,W23=""),"",W23/U23)</f>
        <v>3.75</v>
      </c>
      <c r="Y23" s="9" t="n">
        <v>4</v>
      </c>
      <c r="Z23" s="24" t="n">
        <v>0.6875</v>
      </c>
      <c r="AA23" s="24" t="n">
        <v>0.6836</v>
      </c>
      <c r="AB23" s="24" t="n">
        <v>0.2422</v>
      </c>
      <c r="AC23" s="26" t="str">
        <f>IF(OR(Z23="",AA23=""),"",IF(AND(Z23&gt;=0.6,AA23&gt;=0.5),"高匹配",IF(OR(Z23&gt;=0.6,AA23&gt;=0.5),"中匹配","低匹配")))</f>
        <v>高匹配</v>
      </c>
      <c r="AD23" s="26" t="n">
        <v>4</v>
      </c>
      <c r="AE23" s="25">
        <f>IF(OR(H23="",H23=0,AD23=""),"",AD23/H23)</f>
        <v>0.015625</v>
      </c>
      <c r="AF23" s="34" t="n">
        <v>0.054688</v>
      </c>
      <c r="AG23" s="34" t="n">
        <v>0.08984399999999999</v>
      </c>
      <c r="AH23" s="34" t="n">
        <v>0.023438</v>
      </c>
      <c r="AI23" s="34" t="n">
        <v>0.09375</v>
      </c>
      <c r="AJ23" s="34" t="n">
        <v>0</v>
      </c>
      <c r="AK23" s="34" t="n">
        <v>0.75</v>
      </c>
      <c r="AL23" s="34" t="n">
        <v>0.003906</v>
      </c>
      <c r="AM23" s="34" t="n">
        <v>0.011719</v>
      </c>
    </row>
    <row r="24" ht="24" customHeight="1">
      <c r="A24" s="9" t="n">
        <v>19</v>
      </c>
      <c r="B24" s="9" t="inlineStr">
        <is>
          <t>2026-01-30</t>
        </is>
      </c>
      <c r="C24" s="9" t="inlineStr">
        <is>
          <t>一张照片，让我带着3岁女儿连夜逃去广州</t>
        </is>
      </c>
      <c r="D24" s="9" t="n"/>
      <c r="E24" s="9" t="inlineStr">
        <is>
          <t>育儿育己</t>
        </is>
      </c>
      <c r="F24" s="9" t="inlineStr">
        <is>
          <t>中匹配</t>
        </is>
      </c>
      <c r="G24" s="9" t="inlineStr">
        <is>
          <t>情绪共鸣</t>
        </is>
      </c>
      <c r="H24" s="9" t="n">
        <v>38596</v>
      </c>
      <c r="I24" s="9" t="n">
        <v>15724</v>
      </c>
      <c r="J24" s="9" t="n">
        <v>294</v>
      </c>
      <c r="K24" s="9" t="n">
        <v>37</v>
      </c>
      <c r="L24" s="9" t="n">
        <v>5</v>
      </c>
      <c r="M24" s="22">
        <f>IF(OR(J24="",J24=0,K24=""),"",K24/J24)</f>
        <v>0.125850340136</v>
      </c>
      <c r="N24" s="24">
        <f>IF(OR(K24="",K24=0,L24=""),"",L24/K24)</f>
        <v>0.135135135135</v>
      </c>
      <c r="O24" s="24" t="n">
        <v>0.176961</v>
      </c>
      <c r="P24" s="9" t="n">
        <v>122</v>
      </c>
      <c r="Q24" s="9" t="n">
        <v>38</v>
      </c>
      <c r="R24" s="24">
        <f>IF(OR(H24="",H24=0,Q24=""),"",Q24/H24)</f>
        <v>0.000984557985</v>
      </c>
      <c r="S24" s="9" t="n">
        <v>476</v>
      </c>
      <c r="T24" s="9" t="n">
        <v>162</v>
      </c>
      <c r="U24" s="9" t="n">
        <v>176</v>
      </c>
      <c r="V24" s="24">
        <f>IF(OR(H24="",H24=0,U24=""),"",U24/H24)</f>
        <v>0.004560058037</v>
      </c>
      <c r="W24" s="9" t="n">
        <v>412</v>
      </c>
      <c r="X24" s="33">
        <f>IF(OR(U24="",U24=0,W24=""),"",W24/U24)</f>
        <v>2.340909090909</v>
      </c>
      <c r="Y24" s="9" t="n">
        <v>75</v>
      </c>
      <c r="Z24" s="24" t="n">
        <v>0.6834</v>
      </c>
      <c r="AA24" s="24" t="n">
        <v>0.4074</v>
      </c>
      <c r="AB24" s="24" t="n">
        <v>0.5806</v>
      </c>
      <c r="AC24" s="26" t="str">
        <f>IF(OR(Z24="",AA24=""),"",IF(AND(Z24&gt;=0.6,AA24&gt;=0.5),"高匹配",IF(OR(Z24&gt;=0.6,AA24&gt;=0.5),"中匹配","低匹配")))</f>
        <v>中匹配</v>
      </c>
      <c r="AD24" s="26" t="n">
        <v>75</v>
      </c>
      <c r="AE24" s="25">
        <f>IF(OR(H24="",H24=0,AD24=""),"",AD24/H24)</f>
        <v>0.00194320655</v>
      </c>
      <c r="AF24" s="34" t="n">
        <v>0.000959</v>
      </c>
      <c r="AG24" s="34" t="n">
        <v>0.000259</v>
      </c>
      <c r="AH24" s="34" t="n">
        <v>0.005286</v>
      </c>
      <c r="AI24" s="34" t="n">
        <v>0.005389</v>
      </c>
      <c r="AJ24" s="34" t="n">
        <v>0</v>
      </c>
      <c r="AK24" s="34" t="n">
        <v>0.988082</v>
      </c>
      <c r="AL24" s="34" t="n">
        <v>0.000104</v>
      </c>
      <c r="AM24" s="34" t="n">
        <v>0.001658</v>
      </c>
    </row>
    <row r="25" ht="24" customHeight="1">
      <c r="A25" s="9" t="n">
        <v>20</v>
      </c>
      <c r="B25" s="9" t="inlineStr">
        <is>
          <t>2025-12-25</t>
        </is>
      </c>
      <c r="C25" s="9" t="inlineStr">
        <is>
          <t>嘿，那个总在年终自我批判的你，你的“自我和解说明书”到了。</t>
        </is>
      </c>
      <c r="D25" s="9" t="n"/>
      <c r="E25" s="9" t="inlineStr">
        <is>
          <t>生活感悟</t>
        </is>
      </c>
      <c r="F25" s="9" t="n"/>
      <c r="G25" s="9" t="inlineStr">
        <is>
          <t>情绪共鸣</t>
        </is>
      </c>
      <c r="H25" s="9" t="n">
        <v>7</v>
      </c>
      <c r="I25" s="9" t="n"/>
      <c r="J25" s="9" t="n">
        <v>0</v>
      </c>
      <c r="K25" s="9" t="n">
        <v>0</v>
      </c>
      <c r="L25" s="9" t="n">
        <v>0</v>
      </c>
      <c r="M25" s="22">
        <f>IF(OR(J25="",J25=0,K25=""),"",K25/J25)</f>
        <v/>
      </c>
      <c r="N25" s="24">
        <f>IF(OR(K25="",K25=0,L25=""),"",L25/K25)</f>
        <v/>
      </c>
      <c r="O25" s="24" t="n">
        <v>0.428571</v>
      </c>
      <c r="P25" s="9" t="n">
        <v>125</v>
      </c>
      <c r="Q25" s="9" t="n">
        <v>0</v>
      </c>
      <c r="R25" s="24">
        <f>IF(OR(H25="",H25=0,Q25=""),"",Q25/H25)</f>
        <v>0</v>
      </c>
      <c r="S25" s="9" t="n">
        <v>4</v>
      </c>
      <c r="T25" s="9" t="n">
        <v>3</v>
      </c>
      <c r="U25" s="9" t="n">
        <v>2</v>
      </c>
      <c r="V25" s="24">
        <f>IF(OR(H25="",H25=0,U25=""),"",U25/H25)</f>
        <v>0.285714285714</v>
      </c>
      <c r="W25" s="9" t="n">
        <v>2</v>
      </c>
      <c r="X25" s="33">
        <f>IF(OR(U25="",U25=0,W25=""),"",W25/U25)</f>
        <v>1</v>
      </c>
      <c r="Y25" s="9" t="n">
        <v>0</v>
      </c>
      <c r="Z25" s="24" t="n"/>
      <c r="AA25" s="24" t="n"/>
      <c r="AB25" s="24" t="n"/>
      <c r="AC25" s="26">
        <f>IF(OR(Z25="",AA25=""),"",IF(AND(Z25&gt;=0.6,AA25&gt;=0.5),"高匹配",IF(OR(Z25&gt;=0.6,AA25&gt;=0.5),"中匹配","低匹配")))</f>
        <v/>
      </c>
      <c r="AD25" s="26" t="n">
        <v>0</v>
      </c>
      <c r="AE25" s="25">
        <f>IF(OR(H25="",H25=0,AD25=""),"",AD25/H25)</f>
        <v>0</v>
      </c>
      <c r="AF25" s="34" t="n">
        <v>0.571429</v>
      </c>
      <c r="AG25" s="34" t="n">
        <v>0.142857</v>
      </c>
      <c r="AH25" s="34" t="n">
        <v>0.285714</v>
      </c>
      <c r="AI25" s="34" t="n">
        <v>0</v>
      </c>
      <c r="AJ25" s="34" t="n">
        <v>0</v>
      </c>
      <c r="AK25" s="34" t="n">
        <v>0.142857</v>
      </c>
      <c r="AL25" s="34" t="n">
        <v>0</v>
      </c>
      <c r="AM25" s="34" t="n">
        <v>0</v>
      </c>
    </row>
    <row r="26" ht="24" customHeight="1">
      <c r="A26" s="9" t="n">
        <v>21</v>
      </c>
      <c r="B26" s="9" t="inlineStr">
        <is>
          <t>2025-11-30</t>
        </is>
      </c>
      <c r="C26" s="9" t="inlineStr">
        <is>
          <t>西风刮梦秋无际，夜月生香雪满身：一株芦荻的启示</t>
        </is>
      </c>
      <c r="D26" s="9" t="n"/>
      <c r="E26" s="9" t="inlineStr">
        <is>
          <t>植物美学</t>
        </is>
      </c>
      <c r="F26" s="9" t="inlineStr">
        <is>
          <t>高匹配</t>
        </is>
      </c>
      <c r="G26" s="9" t="inlineStr">
        <is>
          <t>审美滋养</t>
        </is>
      </c>
      <c r="H26" s="9" t="n">
        <v>70</v>
      </c>
      <c r="I26" s="9" t="n">
        <v>36</v>
      </c>
      <c r="J26" s="9" t="n">
        <v>295</v>
      </c>
      <c r="K26" s="9" t="n">
        <v>4</v>
      </c>
      <c r="L26" s="9" t="n">
        <v>1</v>
      </c>
      <c r="M26" s="22">
        <f>IF(OR(J26="",J26=0,K26=""),"",K26/J26)</f>
        <v>0.013559322034</v>
      </c>
      <c r="N26" s="24">
        <f>IF(OR(K26="",K26=0,L26=""),"",L26/K26)</f>
        <v>0.25</v>
      </c>
      <c r="O26" s="24" t="n">
        <v>0.428571</v>
      </c>
      <c r="P26" s="9" t="n">
        <v>82</v>
      </c>
      <c r="Q26" s="9" t="n">
        <v>0</v>
      </c>
      <c r="R26" s="24">
        <f>IF(OR(H26="",H26=0,Q26=""),"",Q26/H26)</f>
        <v>0</v>
      </c>
      <c r="S26" s="9" t="n">
        <v>7</v>
      </c>
      <c r="T26" s="9" t="n">
        <v>9</v>
      </c>
      <c r="U26" s="9" t="n">
        <v>6</v>
      </c>
      <c r="V26" s="24">
        <f>IF(OR(H26="",H26=0,U26=""),"",U26/H26)</f>
        <v>0.085714285714</v>
      </c>
      <c r="W26" s="9" t="n">
        <v>16</v>
      </c>
      <c r="X26" s="33">
        <f>IF(OR(U26="",U26=0,W26=""),"",W26/U26)</f>
        <v>2.666666666667</v>
      </c>
      <c r="Y26" s="9" t="n">
        <v>1</v>
      </c>
      <c r="Z26" s="24" t="n">
        <v>0.6714</v>
      </c>
      <c r="AA26" s="24" t="n">
        <v>0.5143</v>
      </c>
      <c r="AB26" s="24" t="n">
        <v>0.4714</v>
      </c>
      <c r="AC26" s="26" t="str">
        <f>IF(OR(Z26="",AA26=""),"",IF(AND(Z26&gt;=0.6,AA26&gt;=0.5),"高匹配",IF(OR(Z26&gt;=0.6,AA26&gt;=0.5),"中匹配","低匹配")))</f>
        <v>高匹配</v>
      </c>
      <c r="AD26" s="26" t="n">
        <v>1</v>
      </c>
      <c r="AE26" s="25">
        <f>IF(OR(H26="",H26=0,AD26=""),"",AD26/H26)</f>
        <v>0.014285714286</v>
      </c>
      <c r="AF26" s="34" t="n">
        <v>0.057143</v>
      </c>
      <c r="AG26" s="34" t="n">
        <v>0.157143</v>
      </c>
      <c r="AH26" s="34" t="n">
        <v>0.085714</v>
      </c>
      <c r="AI26" s="34" t="n">
        <v>0.142857</v>
      </c>
      <c r="AJ26" s="34" t="n">
        <v>0</v>
      </c>
      <c r="AK26" s="34" t="n">
        <v>0.5</v>
      </c>
      <c r="AL26" s="34" t="n">
        <v>0.1</v>
      </c>
      <c r="AM26" s="34" t="n">
        <v>0.028571</v>
      </c>
    </row>
    <row r="27" ht="24" customHeight="1">
      <c r="A27" s="9" t="n">
        <v>22</v>
      </c>
      <c r="B27" s="9" t="inlineStr">
        <is>
          <t>2025-11-26</t>
        </is>
      </c>
      <c r="C27" s="9" t="inlineStr">
        <is>
          <t>生活不在别处：致我们琐碎日常里的光</t>
        </is>
      </c>
      <c r="D27" s="9" t="n"/>
      <c r="E27" s="9" t="inlineStr">
        <is>
          <t>生活感悟</t>
        </is>
      </c>
      <c r="F27" s="9" t="inlineStr">
        <is>
          <t>高匹配</t>
        </is>
      </c>
      <c r="G27" s="9" t="inlineStr">
        <is>
          <t>情绪共鸣</t>
        </is>
      </c>
      <c r="H27" s="9" t="n">
        <v>52</v>
      </c>
      <c r="I27" s="9" t="n">
        <v>29</v>
      </c>
      <c r="J27" s="9" t="n">
        <v>282</v>
      </c>
      <c r="K27" s="9" t="n">
        <v>6</v>
      </c>
      <c r="L27" s="9" t="n">
        <v>1</v>
      </c>
      <c r="M27" s="22">
        <f>IF(OR(J27="",J27=0,K27=""),"",K27/J27)</f>
        <v>0.021276595745</v>
      </c>
      <c r="N27" s="24">
        <f>IF(OR(K27="",K27=0,L27=""),"",L27/K27)</f>
        <v>0.166666666667</v>
      </c>
      <c r="O27" s="24" t="n">
        <v>0.461538</v>
      </c>
      <c r="P27" s="9" t="n">
        <v>62</v>
      </c>
      <c r="Q27" s="9" t="n">
        <v>0</v>
      </c>
      <c r="R27" s="24">
        <f>IF(OR(H27="",H27=0,Q27=""),"",Q27/H27)</f>
        <v>0</v>
      </c>
      <c r="S27" s="9" t="n">
        <v>6</v>
      </c>
      <c r="T27" s="9" t="n">
        <v>7</v>
      </c>
      <c r="U27" s="9" t="n">
        <v>4</v>
      </c>
      <c r="V27" s="24">
        <f>IF(OR(H27="",H27=0,U27=""),"",U27/H27)</f>
        <v>0.076923076923</v>
      </c>
      <c r="W27" s="9" t="n">
        <v>12</v>
      </c>
      <c r="X27" s="33">
        <f>IF(OR(U27="",U27=0,W27=""),"",W27/U27)</f>
        <v>3</v>
      </c>
      <c r="Y27" s="9" t="n">
        <v>0</v>
      </c>
      <c r="Z27" s="24" t="n">
        <v>0.6923</v>
      </c>
      <c r="AA27" s="24" t="n">
        <v>0.5577</v>
      </c>
      <c r="AB27" s="24" t="n">
        <v>0.423</v>
      </c>
      <c r="AC27" s="26" t="str">
        <f>IF(OR(Z27="",AA27=""),"",IF(AND(Z27&gt;=0.6,AA27&gt;=0.5),"高匹配",IF(OR(Z27&gt;=0.6,AA27&gt;=0.5),"中匹配","低匹配")))</f>
        <v>高匹配</v>
      </c>
      <c r="AD27" s="26" t="n">
        <v>0</v>
      </c>
      <c r="AE27" s="25">
        <f>IF(OR(H27="",H27=0,AD27=""),"",AD27/H27)</f>
        <v>0</v>
      </c>
      <c r="AF27" s="34" t="n">
        <v>0.115385</v>
      </c>
      <c r="AG27" s="34" t="n">
        <v>0.211538</v>
      </c>
      <c r="AH27" s="34" t="n">
        <v>0.07692300000000001</v>
      </c>
      <c r="AI27" s="34" t="n">
        <v>0.153846</v>
      </c>
      <c r="AJ27" s="34" t="n">
        <v>0</v>
      </c>
      <c r="AK27" s="34" t="n">
        <v>0.5</v>
      </c>
      <c r="AL27" s="34" t="n">
        <v>0</v>
      </c>
      <c r="AM27" s="34" t="n">
        <v>0</v>
      </c>
    </row>
    <row r="28" ht="24" customHeight="1">
      <c r="A28" s="9" t="n">
        <v>23</v>
      </c>
      <c r="B28" s="9" t="inlineStr">
        <is>
          <t>2025-11-24</t>
        </is>
      </c>
      <c r="C28" s="9" t="inlineStr">
        <is>
          <t>从《破晓东方》看当下：我们为何需要“红色精神”的滋养？​​</t>
        </is>
      </c>
      <c r="D28" s="9" t="n"/>
      <c r="E28" s="9" t="inlineStr">
        <is>
          <t>追剧观影</t>
        </is>
      </c>
      <c r="F28" s="9" t="inlineStr">
        <is>
          <t>中匹配</t>
        </is>
      </c>
      <c r="G28" s="9" t="inlineStr">
        <is>
          <t>认知启发</t>
        </is>
      </c>
      <c r="H28" s="9" t="n">
        <v>70</v>
      </c>
      <c r="I28" s="9" t="n">
        <v>39</v>
      </c>
      <c r="J28" s="9" t="n">
        <v>267</v>
      </c>
      <c r="K28" s="9" t="n">
        <v>5</v>
      </c>
      <c r="L28" s="9" t="n">
        <v>1</v>
      </c>
      <c r="M28" s="22">
        <f>IF(OR(J28="",J28=0,K28=""),"",K28/J28)</f>
        <v>0.01872659176</v>
      </c>
      <c r="N28" s="24">
        <f>IF(OR(K28="",K28=0,L28=""),"",L28/K28)</f>
        <v>0.2</v>
      </c>
      <c r="O28" s="24" t="n">
        <v>0.272727</v>
      </c>
      <c r="P28" s="9" t="n">
        <v>35</v>
      </c>
      <c r="Q28" s="9" t="n">
        <v>0</v>
      </c>
      <c r="R28" s="24">
        <f>IF(OR(H28="",H28=0,Q28=""),"",Q28/H28)</f>
        <v>0</v>
      </c>
      <c r="S28" s="9" t="n">
        <v>9</v>
      </c>
      <c r="T28" s="9" t="n">
        <v>7</v>
      </c>
      <c r="U28" s="9" t="n">
        <v>7</v>
      </c>
      <c r="V28" s="24">
        <f>IF(OR(H28="",H28=0,U28=""),"",U28/H28)</f>
        <v>0.1</v>
      </c>
      <c r="W28" s="9" t="n">
        <v>19</v>
      </c>
      <c r="X28" s="33">
        <f>IF(OR(U28="",U28=0,W28=""),"",W28/U28)</f>
        <v>2.714285714286</v>
      </c>
      <c r="Y28" s="9" t="n">
        <v>0</v>
      </c>
      <c r="Z28" s="24" t="n">
        <v>0.4857</v>
      </c>
      <c r="AA28" s="24" t="n">
        <v>0.5572</v>
      </c>
      <c r="AB28" s="24" t="n">
        <v>0.4143</v>
      </c>
      <c r="AC28" s="26" t="str">
        <f>IF(OR(Z28="",AA28=""),"",IF(AND(Z28&gt;=0.6,AA28&gt;=0.5),"高匹配",IF(OR(Z28&gt;=0.6,AA28&gt;=0.5),"中匹配","低匹配")))</f>
        <v>中匹配</v>
      </c>
      <c r="AD28" s="26" t="n">
        <v>0</v>
      </c>
      <c r="AE28" s="25">
        <f>IF(OR(H28="",H28=0,AD28=""),"",AD28/H28)</f>
        <v>0</v>
      </c>
      <c r="AF28" s="34" t="n">
        <v>0.142857</v>
      </c>
      <c r="AG28" s="34" t="n">
        <v>0.171429</v>
      </c>
      <c r="AH28" s="34" t="n">
        <v>0.114286</v>
      </c>
      <c r="AI28" s="34" t="n">
        <v>0.157143</v>
      </c>
      <c r="AJ28" s="34" t="n">
        <v>0</v>
      </c>
      <c r="AK28" s="34" t="n">
        <v>0.3</v>
      </c>
      <c r="AL28" s="34" t="n">
        <v>0.142857</v>
      </c>
      <c r="AM28" s="34" t="n">
        <v>0</v>
      </c>
    </row>
    <row r="29" ht="24" customHeight="1">
      <c r="A29" s="9" t="n">
        <v>24</v>
      </c>
      <c r="B29" s="9" t="inlineStr">
        <is>
          <t>2025-11-20</t>
        </is>
      </c>
      <c r="C29" s="9" t="inlineStr">
        <is>
          <t>我们并非生而和平，只是幸有守护：毛主席的战争智慧，今天为何依然重要？</t>
        </is>
      </c>
      <c r="D29" s="9" t="n"/>
      <c r="E29" s="9" t="inlineStr">
        <is>
          <t>深度思考</t>
        </is>
      </c>
      <c r="F29" s="9" t="inlineStr">
        <is>
          <t>低匹配</t>
        </is>
      </c>
      <c r="G29" s="9" t="inlineStr">
        <is>
          <t>认知启发</t>
        </is>
      </c>
      <c r="H29" s="9" t="n">
        <v>8971</v>
      </c>
      <c r="I29" s="9" t="n">
        <v>667</v>
      </c>
      <c r="J29" s="9" t="n">
        <v>212</v>
      </c>
      <c r="K29" s="9" t="n">
        <v>37</v>
      </c>
      <c r="L29" s="9" t="n">
        <v>3</v>
      </c>
      <c r="M29" s="22">
        <f>IF(OR(J29="",J29=0,K29=""),"",K29/J29)</f>
        <v>0.174528301887</v>
      </c>
      <c r="N29" s="24">
        <f>IF(OR(K29="",K29=0,L29=""),"",L29/K29)</f>
        <v>0.081081081081</v>
      </c>
      <c r="O29" s="24" t="n">
        <v>0.207479</v>
      </c>
      <c r="P29" s="9" t="n">
        <v>156</v>
      </c>
      <c r="Q29" s="9" t="n">
        <v>56</v>
      </c>
      <c r="R29" s="24">
        <f>IF(OR(H29="",H29=0,Q29=""),"",Q29/H29)</f>
        <v>0.006242336417</v>
      </c>
      <c r="S29" s="9" t="n">
        <v>708</v>
      </c>
      <c r="T29" s="9" t="n">
        <v>324</v>
      </c>
      <c r="U29" s="9" t="n">
        <v>349</v>
      </c>
      <c r="V29" s="24">
        <f>IF(OR(H29="",H29=0,U29=""),"",U29/H29)</f>
        <v>0.038903132315</v>
      </c>
      <c r="W29" s="9" t="n">
        <v>545</v>
      </c>
      <c r="X29" s="33">
        <f>IF(OR(U29="",U29=0,W29=""),"",W29/U29)</f>
        <v>1.561604584527</v>
      </c>
      <c r="Y29" s="9" t="n">
        <v>59</v>
      </c>
      <c r="Z29" s="24" t="n">
        <v>0.192</v>
      </c>
      <c r="AA29" s="24" t="n">
        <v>0.07439999999999999</v>
      </c>
      <c r="AB29" s="24" t="n">
        <v>0.8971</v>
      </c>
      <c r="AC29" s="26" t="str">
        <f>IF(OR(Z29="",AA29=""),"",IF(AND(Z29&gt;=0.6,AA29&gt;=0.5),"高匹配",IF(OR(Z29&gt;=0.6,AA29&gt;=0.5),"中匹配","低匹配")))</f>
        <v>低匹配</v>
      </c>
      <c r="AD29" s="26" t="n">
        <v>59</v>
      </c>
      <c r="AE29" s="25">
        <f>IF(OR(H29="",H29=0,AD29=""),"",AD29/H29)</f>
        <v>0.006576747297</v>
      </c>
      <c r="AF29" s="34" t="n">
        <v>0.005574</v>
      </c>
      <c r="AG29" s="34" t="n">
        <v>0.001895</v>
      </c>
      <c r="AH29" s="34" t="n">
        <v>0.043473</v>
      </c>
      <c r="AI29" s="34" t="n">
        <v>0.017278</v>
      </c>
      <c r="AJ29" s="34" t="n">
        <v>0</v>
      </c>
      <c r="AK29" s="34" t="n">
        <v>0.932449</v>
      </c>
      <c r="AL29" s="34" t="n">
        <v>0.000669</v>
      </c>
      <c r="AM29" s="34" t="n">
        <v>0.005685</v>
      </c>
    </row>
    <row r="30" ht="24" customHeight="1">
      <c r="A30" s="9" t="n">
        <v>25</v>
      </c>
      <c r="B30" s="9" t="inlineStr">
        <is>
          <t>2025-11-18</t>
        </is>
      </c>
      <c r="C30" s="9" t="inlineStr">
        <is>
          <t>阅读的终极目的：是与另一个灵魂共鸣</t>
        </is>
      </c>
      <c r="D30" s="9" t="n"/>
      <c r="E30" s="9" t="inlineStr">
        <is>
          <t>生活感悟</t>
        </is>
      </c>
      <c r="F30" s="9" t="inlineStr">
        <is>
          <t>高匹配</t>
        </is>
      </c>
      <c r="G30" s="9" t="inlineStr">
        <is>
          <t>认知启发</t>
        </is>
      </c>
      <c r="H30" s="9" t="n">
        <v>39</v>
      </c>
      <c r="I30" s="9" t="n">
        <v>24</v>
      </c>
      <c r="J30" s="9" t="n">
        <v>208</v>
      </c>
      <c r="K30" s="9" t="n">
        <v>7</v>
      </c>
      <c r="L30" s="9" t="n">
        <v>1</v>
      </c>
      <c r="M30" s="22">
        <f>IF(OR(J30="",J30=0,K30=""),"",K30/J30)</f>
        <v>0.033653846154</v>
      </c>
      <c r="N30" s="24">
        <f>IF(OR(K30="",K30=0,L30=""),"",L30/K30)</f>
        <v>0.142857142857</v>
      </c>
      <c r="O30" s="24" t="n">
        <v>0.5</v>
      </c>
      <c r="P30" s="9" t="n">
        <v>89</v>
      </c>
      <c r="Q30" s="9" t="n">
        <v>0</v>
      </c>
      <c r="R30" s="24">
        <f>IF(OR(H30="",H30=0,Q30=""),"",Q30/H30)</f>
        <v>0</v>
      </c>
      <c r="S30" s="9" t="n">
        <v>7</v>
      </c>
      <c r="T30" s="9" t="n">
        <v>6</v>
      </c>
      <c r="U30" s="9" t="n">
        <v>7</v>
      </c>
      <c r="V30" s="24">
        <f>IF(OR(H30="",H30=0,U30=""),"",U30/H30)</f>
        <v>0.179487179487</v>
      </c>
      <c r="W30" s="9" t="n">
        <v>15</v>
      </c>
      <c r="X30" s="33">
        <f>IF(OR(U30="",U30=0,W30=""),"",W30/U30)</f>
        <v>2.142857142857</v>
      </c>
      <c r="Y30" s="9" t="n">
        <v>1</v>
      </c>
      <c r="Z30" s="24" t="n">
        <v>0.7179</v>
      </c>
      <c r="AA30" s="24" t="n">
        <v>0.6153999999999999</v>
      </c>
      <c r="AB30" s="24" t="n">
        <v>0.359</v>
      </c>
      <c r="AC30" s="26" t="str">
        <f>IF(OR(Z30="",AA30=""),"",IF(AND(Z30&gt;=0.6,AA30&gt;=0.5),"高匹配",IF(OR(Z30&gt;=0.6,AA30&gt;=0.5),"中匹配","低匹配")))</f>
        <v>高匹配</v>
      </c>
      <c r="AD30" s="26" t="n">
        <v>1</v>
      </c>
      <c r="AE30" s="25">
        <f>IF(OR(H30="",H30=0,AD30=""),"",AD30/H30)</f>
        <v>0.025641025641</v>
      </c>
      <c r="AF30" s="34" t="n">
        <v>0.179487</v>
      </c>
      <c r="AG30" s="34" t="n">
        <v>0.179487</v>
      </c>
      <c r="AH30" s="34" t="n">
        <v>0.179487</v>
      </c>
      <c r="AI30" s="34" t="n">
        <v>0.205128</v>
      </c>
      <c r="AJ30" s="34" t="n">
        <v>0</v>
      </c>
      <c r="AK30" s="34" t="n">
        <v>0.07692300000000001</v>
      </c>
      <c r="AL30" s="34" t="n">
        <v>0.102564</v>
      </c>
      <c r="AM30" s="34" t="n">
        <v>0.153846</v>
      </c>
    </row>
    <row r="31" ht="24" customHeight="1">
      <c r="A31" s="9" t="n">
        <v>26</v>
      </c>
      <c r="B31" s="9" t="inlineStr">
        <is>
          <t>2025-11-15</t>
        </is>
      </c>
      <c r="C31" s="9" t="inlineStr">
        <is>
          <t>高敏感者的自我救赎：当“我执”消散，慈悲便开始</t>
        </is>
      </c>
      <c r="D31" s="9" t="n"/>
      <c r="E31" s="9" t="inlineStr">
        <is>
          <t>生活感悟</t>
        </is>
      </c>
      <c r="F31" s="9" t="inlineStr">
        <is>
          <t>高匹配</t>
        </is>
      </c>
      <c r="G31" s="9" t="inlineStr">
        <is>
          <t>认知启发</t>
        </is>
      </c>
      <c r="H31" s="9" t="n">
        <v>71</v>
      </c>
      <c r="I31" s="9" t="n">
        <v>37</v>
      </c>
      <c r="J31" s="9" t="n">
        <v>207</v>
      </c>
      <c r="K31" s="26" t="n">
        <v>6</v>
      </c>
      <c r="L31" s="9" t="n">
        <v>1</v>
      </c>
      <c r="M31" s="22">
        <f>IF(OR(J31="",J31=0,K31=""),"",K31/J31)</f>
        <v>0.028985507246</v>
      </c>
      <c r="N31" s="24">
        <f>IF(OR(K31="",K31=0,L31=""),"",L31/K31)</f>
        <v>0.166666666667</v>
      </c>
      <c r="O31" s="24" t="n">
        <v>0.6875</v>
      </c>
      <c r="P31" s="9" t="n">
        <v>85</v>
      </c>
      <c r="Q31" s="9" t="n">
        <v>0</v>
      </c>
      <c r="R31" s="25">
        <f>IF(OR(H31="",H31=0,Q31=""),"",Q31/H31)</f>
        <v>0</v>
      </c>
      <c r="S31" s="9" t="n">
        <v>8</v>
      </c>
      <c r="T31" s="9" t="n">
        <v>7</v>
      </c>
      <c r="U31" s="9" t="n">
        <v>8</v>
      </c>
      <c r="V31" s="25">
        <f>IF(OR(H31="",H31=0,U31=""),"",U31/H31)</f>
        <v>0.112676056338</v>
      </c>
      <c r="W31" s="9" t="n">
        <v>11</v>
      </c>
      <c r="X31" s="33">
        <f>IF(OR(U31="",U31=0,W31=""),"",W31/U31)</f>
        <v>1.375</v>
      </c>
      <c r="Y31" s="9" t="n">
        <v>0</v>
      </c>
      <c r="Z31" s="25" t="n">
        <v>0.7746</v>
      </c>
      <c r="AA31" s="24" t="n">
        <v>0.5212</v>
      </c>
      <c r="AB31" s="24" t="n">
        <v>0.4085</v>
      </c>
      <c r="AC31" s="26" t="str">
        <f>IF(OR(Z31="",AA31=""),"",IF(AND(Z31&gt;=0.6,AA31&gt;=0.5),"高匹配",IF(OR(Z31&gt;=0.6,AA31&gt;=0.5),"中匹配","低匹配")))</f>
        <v>高匹配</v>
      </c>
      <c r="AD31" s="26" t="n">
        <v>0</v>
      </c>
      <c r="AE31" s="25">
        <f>IF(OR(H31="",H31=0,AD31=""),"",AD31/H31)</f>
        <v>0</v>
      </c>
      <c r="AF31" s="34" t="n">
        <v>0.169014</v>
      </c>
      <c r="AG31" s="34" t="n">
        <v>0.112676</v>
      </c>
      <c r="AH31" s="34" t="n">
        <v>0.070423</v>
      </c>
      <c r="AI31" s="34" t="n">
        <v>0.084507</v>
      </c>
      <c r="AJ31" s="34" t="n">
        <v>0</v>
      </c>
      <c r="AK31" s="34" t="n">
        <v>0.577465</v>
      </c>
      <c r="AL31" s="34" t="n">
        <v>0.014085</v>
      </c>
      <c r="AM31" s="34" t="n">
        <v>0.070423</v>
      </c>
    </row>
    <row r="32" ht="24" customHeight="1">
      <c r="A32" s="9" t="n">
        <v>27</v>
      </c>
      <c r="B32" s="9" t="inlineStr">
        <is>
          <t>2025-11-12</t>
        </is>
      </c>
      <c r="C32" s="9" t="inlineStr">
        <is>
          <t>于无声处听惊雷——《沉默的荣耀》与“只为苍生”的信仰</t>
        </is>
      </c>
      <c r="D32" s="9" t="n"/>
      <c r="E32" s="9" t="inlineStr">
        <is>
          <t>追剧观影</t>
        </is>
      </c>
      <c r="F32" s="9" t="inlineStr">
        <is>
          <t>中匹配</t>
        </is>
      </c>
      <c r="G32" s="9" t="inlineStr">
        <is>
          <t>认知启发</t>
        </is>
      </c>
      <c r="H32" s="9" t="n">
        <v>1281</v>
      </c>
      <c r="I32" s="9" t="n">
        <v>455</v>
      </c>
      <c r="J32" s="9" t="n">
        <v>204</v>
      </c>
      <c r="K32" s="9" t="n">
        <v>6</v>
      </c>
      <c r="L32" s="9" t="n">
        <v>2</v>
      </c>
      <c r="M32" s="22">
        <f>IF(OR(J32="",J32=0,K32=""),"",K32/J32)</f>
        <v>0.029411764706</v>
      </c>
      <c r="N32" s="24">
        <f>IF(OR(K32="",K32=0,L32=""),"",L32/K32)</f>
        <v>0.333333333333</v>
      </c>
      <c r="O32" s="24" t="n">
        <v>0.232198</v>
      </c>
      <c r="P32" s="9" t="n">
        <v>110</v>
      </c>
      <c r="Q32" s="9" t="n">
        <v>1</v>
      </c>
      <c r="R32" s="24">
        <f>IF(OR(H32="",H32=0,Q32=""),"",Q32/H32)</f>
        <v>0.000780640125</v>
      </c>
      <c r="S32" s="9" t="n">
        <v>22</v>
      </c>
      <c r="T32" s="9" t="n">
        <v>9</v>
      </c>
      <c r="U32" s="9" t="n">
        <v>22</v>
      </c>
      <c r="V32" s="24">
        <f>IF(OR(H32="",H32=0,U32=""),"",U32/H32)</f>
        <v>0.017174082748</v>
      </c>
      <c r="W32" s="9" t="n">
        <v>25</v>
      </c>
      <c r="X32" s="33">
        <f>IF(OR(U32="",U32=0,W32=""),"",W32/U32)</f>
        <v>1.136363636364</v>
      </c>
      <c r="Y32" s="9" t="n">
        <v>1</v>
      </c>
      <c r="Z32" s="24" t="n">
        <v>0.8086</v>
      </c>
      <c r="AA32" s="24" t="n">
        <v>0.3552</v>
      </c>
      <c r="AB32" s="24" t="n">
        <v>0.6253</v>
      </c>
      <c r="AC32" s="26" t="str">
        <f>IF(OR(Z32="",AA32=""),"",IF(AND(Z32&gt;=0.6,AA32&gt;=0.5),"高匹配",IF(OR(Z32&gt;=0.6,AA32&gt;=0.5),"中匹配","低匹配")))</f>
        <v>中匹配</v>
      </c>
      <c r="AD32" s="26" t="n">
        <v>1</v>
      </c>
      <c r="AE32" s="25">
        <f>IF(OR(H32="",H32=0,AD32=""),"",AD32/H32)</f>
        <v>0.000780640125</v>
      </c>
      <c r="AF32" s="34" t="n">
        <v>0.004684</v>
      </c>
      <c r="AG32" s="34" t="n">
        <v>0.009368</v>
      </c>
      <c r="AH32" s="34" t="n">
        <v>0.007026</v>
      </c>
      <c r="AI32" s="34" t="n">
        <v>0.01249</v>
      </c>
      <c r="AJ32" s="34" t="n">
        <v>0</v>
      </c>
      <c r="AK32" s="34" t="n">
        <v>0.960968</v>
      </c>
      <c r="AL32" s="34" t="n">
        <v>0.004684</v>
      </c>
      <c r="AM32" s="34" t="n">
        <v>0.003903</v>
      </c>
    </row>
    <row r="33" ht="24" customHeight="1">
      <c r="A33" s="9" t="n">
        <v>28</v>
      </c>
      <c r="B33" s="9" t="inlineStr">
        <is>
          <t>2025-11-10</t>
        </is>
      </c>
      <c r="C33" s="9" t="inlineStr">
        <is>
          <t>菊花羞作倾城色？夺回华夏审美的话语权</t>
        </is>
      </c>
      <c r="D33" s="9" t="n"/>
      <c r="E33" s="9" t="inlineStr">
        <is>
          <t>植物美学</t>
        </is>
      </c>
      <c r="F33" s="9" t="inlineStr">
        <is>
          <t>中匹配</t>
        </is>
      </c>
      <c r="G33" s="9" t="inlineStr">
        <is>
          <t>审美滋养</t>
        </is>
      </c>
      <c r="H33" s="9" t="n">
        <v>494</v>
      </c>
      <c r="I33" s="9" t="n">
        <v>85</v>
      </c>
      <c r="J33" s="9" t="n">
        <v>203</v>
      </c>
      <c r="K33" s="9" t="n">
        <v>6</v>
      </c>
      <c r="L33" s="9" t="n">
        <v>2</v>
      </c>
      <c r="M33" s="22">
        <f>IF(OR(J33="",J33=0,K33=""),"",K33/J33)</f>
        <v>0.029556650246</v>
      </c>
      <c r="N33" s="24">
        <f>IF(OR(K33="",K33=0,L33=""),"",L33/K33)</f>
        <v>0.333333333333</v>
      </c>
      <c r="O33" s="24" t="n">
        <v>0.333333</v>
      </c>
      <c r="P33" s="9" t="n">
        <v>50</v>
      </c>
      <c r="Q33" s="9" t="n">
        <v>5</v>
      </c>
      <c r="R33" s="24">
        <f>IF(OR(H33="",H33=0,Q33=""),"",Q33/H33)</f>
        <v>0.01012145749</v>
      </c>
      <c r="S33" s="9" t="n">
        <v>41</v>
      </c>
      <c r="T33" s="9" t="n">
        <v>13</v>
      </c>
      <c r="U33" s="9" t="n">
        <v>34</v>
      </c>
      <c r="V33" s="24">
        <f>IF(OR(H33="",H33=0,U33=""),"",U33/H33)</f>
        <v>0.068825910931</v>
      </c>
      <c r="W33" s="9" t="n">
        <v>20</v>
      </c>
      <c r="X33" s="33">
        <f>IF(OR(U33="",U33=0,W33=""),"",W33/U33)</f>
        <v>0.588235294118</v>
      </c>
      <c r="Y33" s="9" t="n">
        <v>1</v>
      </c>
      <c r="Z33" s="24" t="n">
        <v>0.6085</v>
      </c>
      <c r="AA33" s="24" t="n">
        <v>0.1721</v>
      </c>
      <c r="AB33" s="24" t="n">
        <v>0.8056</v>
      </c>
      <c r="AC33" s="26" t="str">
        <f>IF(OR(Z33="",AA33=""),"",IF(AND(Z33&gt;=0.6,AA33&gt;=0.5),"高匹配",IF(OR(Z33&gt;=0.6,AA33&gt;=0.5),"中匹配","低匹配")))</f>
        <v>中匹配</v>
      </c>
      <c r="AD33" s="26" t="n">
        <v>1</v>
      </c>
      <c r="AE33" s="25">
        <f>IF(OR(H33="",H33=0,AD33=""),"",AD33/H33)</f>
        <v>0.002024291498</v>
      </c>
      <c r="AF33" s="34" t="n">
        <v>0.012146</v>
      </c>
      <c r="AG33" s="34" t="n">
        <v>0.032389</v>
      </c>
      <c r="AH33" s="34" t="n">
        <v>0.018219</v>
      </c>
      <c r="AI33" s="34" t="n">
        <v>0.022267</v>
      </c>
      <c r="AJ33" s="34" t="n">
        <v>0</v>
      </c>
      <c r="AK33" s="34" t="n">
        <v>0.892713</v>
      </c>
      <c r="AL33" s="34" t="n">
        <v>0.036437</v>
      </c>
      <c r="AM33" s="34" t="n">
        <v>0.016194</v>
      </c>
    </row>
    <row r="34" ht="24" customHeight="1">
      <c r="A34" s="9" t="n">
        <v>29</v>
      </c>
      <c r="B34" s="9" t="inlineStr">
        <is>
          <t>2025-11-06</t>
        </is>
      </c>
      <c r="C34" s="9" t="inlineStr">
        <is>
          <t>一切诸相，皆是虚妄：一次公园重游带来的认知觉醒与心灵疗愈</t>
        </is>
      </c>
      <c r="D34" s="9" t="n"/>
      <c r="E34" s="9" t="inlineStr">
        <is>
          <t>深度思考</t>
        </is>
      </c>
      <c r="F34" s="9" t="inlineStr">
        <is>
          <t>中匹配</t>
        </is>
      </c>
      <c r="G34" s="9" t="inlineStr">
        <is>
          <t>认知启发</t>
        </is>
      </c>
      <c r="H34" s="9" t="n">
        <v>52</v>
      </c>
      <c r="I34" s="9" t="n">
        <v>25</v>
      </c>
      <c r="J34" s="9" t="n">
        <v>199</v>
      </c>
      <c r="K34" s="9" t="n">
        <v>4</v>
      </c>
      <c r="L34" s="9" t="n">
        <v>2</v>
      </c>
      <c r="M34" s="22">
        <f>IF(OR(J34="",J34=0,K34=""),"",K34/J34)</f>
        <v>0.020100502513</v>
      </c>
      <c r="N34" s="24">
        <f>IF(OR(K34="",K34=0,L34=""),"",L34/K34)</f>
        <v>0.5</v>
      </c>
      <c r="O34" s="24" t="n">
        <v>0.6</v>
      </c>
      <c r="P34" s="9" t="n">
        <v>92</v>
      </c>
      <c r="Q34" s="9" t="n">
        <v>0</v>
      </c>
      <c r="R34" s="24">
        <f>IF(OR(H34="",H34=0,Q34=""),"",Q34/H34)</f>
        <v>0</v>
      </c>
      <c r="S34" s="9" t="n">
        <v>8</v>
      </c>
      <c r="T34" s="9" t="n">
        <v>8</v>
      </c>
      <c r="U34" s="9" t="n">
        <v>7</v>
      </c>
      <c r="V34" s="24">
        <f>IF(OR(H34="",H34=0,U34=""),"",U34/H34)</f>
        <v>0.134615384615</v>
      </c>
      <c r="W34" s="9" t="n">
        <v>17</v>
      </c>
      <c r="X34" s="33">
        <f>IF(OR(U34="",U34=0,W34=""),"",W34/U34)</f>
        <v>2.428571428571</v>
      </c>
      <c r="Y34" s="9" t="n">
        <v>1</v>
      </c>
      <c r="Z34" s="24" t="n">
        <v>0.6923</v>
      </c>
      <c r="AA34" s="24" t="n">
        <v>0.4808</v>
      </c>
      <c r="AB34" s="24" t="n">
        <v>0.4808</v>
      </c>
      <c r="AC34" s="26" t="str">
        <f>IF(OR(Z34="",AA34=""),"",IF(AND(Z34&gt;=0.6,AA34&gt;=0.5),"高匹配",IF(OR(Z34&gt;=0.6,AA34&gt;=0.5),"中匹配","低匹配")))</f>
        <v>中匹配</v>
      </c>
      <c r="AD34" s="26" t="n">
        <v>1</v>
      </c>
      <c r="AE34" s="25">
        <f>IF(OR(H34="",H34=0,AD34=""),"",AD34/H34)</f>
        <v>0.019230769231</v>
      </c>
      <c r="AF34" s="34" t="n">
        <v>0.134615</v>
      </c>
      <c r="AG34" s="34" t="n">
        <v>0.25</v>
      </c>
      <c r="AH34" s="34" t="n">
        <v>0.07692300000000001</v>
      </c>
      <c r="AI34" s="34" t="n">
        <v>0.25</v>
      </c>
      <c r="AJ34" s="34" t="n">
        <v>0</v>
      </c>
      <c r="AK34" s="34" t="n">
        <v>0.307692</v>
      </c>
      <c r="AL34" s="34" t="n">
        <v>0</v>
      </c>
      <c r="AM34" s="34" t="n">
        <v>0.038462</v>
      </c>
    </row>
    <row r="35" ht="24" customHeight="1">
      <c r="A35" s="9" t="n">
        <v>30</v>
      </c>
      <c r="B35" s="9" t="inlineStr">
        <is>
          <t>2025-11-04</t>
        </is>
      </c>
      <c r="C35" s="9" t="inlineStr">
        <is>
          <t>所有人都将渐行渐远，成长的代价是孤独</t>
        </is>
      </c>
      <c r="D35" s="9" t="n"/>
      <c r="E35" s="9" t="inlineStr">
        <is>
          <t>生活感悟</t>
        </is>
      </c>
      <c r="F35" s="9" t="inlineStr">
        <is>
          <t>高匹配</t>
        </is>
      </c>
      <c r="G35" s="9" t="inlineStr">
        <is>
          <t>情绪共鸣</t>
        </is>
      </c>
      <c r="H35" s="9" t="n">
        <v>54</v>
      </c>
      <c r="I35" s="9" t="n">
        <v>28</v>
      </c>
      <c r="J35" s="9" t="n">
        <v>199</v>
      </c>
      <c r="K35" s="9" t="n">
        <v>9</v>
      </c>
      <c r="L35" s="9" t="n">
        <v>0</v>
      </c>
      <c r="M35" s="22">
        <f>IF(OR(J35="",J35=0,K35=""),"",K35/J35)</f>
        <v>0.045226130653</v>
      </c>
      <c r="N35" s="24">
        <f>IF(OR(K35="",K35=0,L35=""),"",L35/K35)</f>
        <v>0</v>
      </c>
      <c r="O35" s="24" t="n">
        <v>0.489362</v>
      </c>
      <c r="P35" s="9" t="n">
        <v>68</v>
      </c>
      <c r="Q35" s="9" t="n">
        <v>1</v>
      </c>
      <c r="R35" s="24">
        <f>IF(OR(H35="",H35=0,Q35=""),"",Q35/H35)</f>
        <v>0.018518518519</v>
      </c>
      <c r="S35" s="9" t="n">
        <v>7</v>
      </c>
      <c r="T35" s="9" t="n">
        <v>6</v>
      </c>
      <c r="U35" s="9" t="n">
        <v>9</v>
      </c>
      <c r="V35" s="24">
        <f>IF(OR(H35="",H35=0,U35=""),"",U35/H35)</f>
        <v>0.166666666667</v>
      </c>
      <c r="W35" s="9" t="n">
        <v>18</v>
      </c>
      <c r="X35" s="33">
        <f>IF(OR(U35="",U35=0,W35=""),"",W35/U35)</f>
        <v>2</v>
      </c>
      <c r="Y35" s="9" t="n">
        <v>0</v>
      </c>
      <c r="Z35" s="24" t="n">
        <v>0.7407</v>
      </c>
      <c r="AA35" s="24" t="n">
        <v>0.5185</v>
      </c>
      <c r="AB35" s="24" t="n">
        <v>0.4259</v>
      </c>
      <c r="AC35" s="26" t="str">
        <f>IF(OR(Z35="",AA35=""),"",IF(AND(Z35&gt;=0.6,AA35&gt;=0.5),"高匹配",IF(OR(Z35&gt;=0.6,AA35&gt;=0.5),"中匹配","低匹配")))</f>
        <v>高匹配</v>
      </c>
      <c r="AD35" s="26" t="n">
        <v>0</v>
      </c>
      <c r="AE35" s="25">
        <f>IF(OR(H35="",H35=0,AD35=""),"",AD35/H35)</f>
        <v>0</v>
      </c>
      <c r="AF35" s="34" t="n">
        <v>0.166667</v>
      </c>
      <c r="AG35" s="34" t="n">
        <v>0.277778</v>
      </c>
      <c r="AH35" s="34" t="n">
        <v>0.055556</v>
      </c>
      <c r="AI35" s="34" t="n">
        <v>0.277778</v>
      </c>
      <c r="AJ35" s="34" t="n">
        <v>0</v>
      </c>
      <c r="AK35" s="34" t="n">
        <v>0.277778</v>
      </c>
      <c r="AL35" s="34" t="n">
        <v>0.018519</v>
      </c>
      <c r="AM35" s="34" t="n">
        <v>0.074074</v>
      </c>
    </row>
    <row r="36" ht="24" customHeight="1">
      <c r="A36" s="9" t="n">
        <v>31</v>
      </c>
      <c r="B36" s="9" t="inlineStr">
        <is>
          <t>2025-11-03</t>
        </is>
      </c>
      <c r="C36" s="9" t="inlineStr">
        <is>
          <t>我们究竟该如何感受美？或许答案就在路边的柏香里</t>
        </is>
      </c>
      <c r="D36" s="9" t="n"/>
      <c r="E36" s="9" t="inlineStr">
        <is>
          <t>植物美学</t>
        </is>
      </c>
      <c r="F36" s="9" t="inlineStr">
        <is>
          <t>高匹配</t>
        </is>
      </c>
      <c r="G36" s="9" t="inlineStr">
        <is>
          <t>审美滋养</t>
        </is>
      </c>
      <c r="H36" s="9" t="n">
        <v>37</v>
      </c>
      <c r="I36" s="9" t="n">
        <v>20</v>
      </c>
      <c r="J36" s="9" t="n">
        <v>197</v>
      </c>
      <c r="K36" s="9" t="n">
        <v>6</v>
      </c>
      <c r="L36" s="9" t="n">
        <v>1</v>
      </c>
      <c r="M36" s="22">
        <f>IF(OR(J36="",J36=0,K36=""),"",K36/J36)</f>
        <v>0.030456852792</v>
      </c>
      <c r="N36" s="24">
        <f>IF(OR(K36="",K36=0,L36=""),"",L36/K36)</f>
        <v>0.166666666667</v>
      </c>
      <c r="O36" s="24" t="n">
        <v>0.580645</v>
      </c>
      <c r="P36" s="9" t="n">
        <v>84</v>
      </c>
      <c r="Q36" s="9" t="n">
        <v>0</v>
      </c>
      <c r="R36" s="24">
        <f>IF(OR(H36="",H36=0,Q36=""),"",Q36/H36)</f>
        <v>0</v>
      </c>
      <c r="S36" s="9" t="n">
        <v>7</v>
      </c>
      <c r="T36" s="9" t="n">
        <v>7</v>
      </c>
      <c r="U36" s="9" t="n">
        <v>6</v>
      </c>
      <c r="V36" s="24">
        <f>IF(OR(H36="",H36=0,U36=""),"",U36/H36)</f>
        <v>0.162162162162</v>
      </c>
      <c r="W36" s="9" t="n">
        <v>16</v>
      </c>
      <c r="X36" s="33">
        <f>IF(OR(U36="",U36=0,W36=""),"",W36/U36)</f>
        <v>2.666666666667</v>
      </c>
      <c r="Y36" s="9" t="n">
        <v>1</v>
      </c>
      <c r="Z36" s="24" t="n">
        <v>0.6486</v>
      </c>
      <c r="AA36" s="24" t="n">
        <v>0.5406</v>
      </c>
      <c r="AB36" s="24" t="n">
        <v>0.4324</v>
      </c>
      <c r="AC36" s="26" t="str">
        <f>IF(OR(Z36="",AA36=""),"",IF(AND(Z36&gt;=0.6,AA36&gt;=0.5),"高匹配",IF(OR(Z36&gt;=0.6,AA36&gt;=0.5),"中匹配","低匹配")))</f>
        <v>高匹配</v>
      </c>
      <c r="AD36" s="26" t="n">
        <v>1</v>
      </c>
      <c r="AE36" s="25">
        <f>IF(OR(H36="",H36=0,AD36=""),"",AD36/H36)</f>
        <v>0.027027027027</v>
      </c>
      <c r="AF36" s="34" t="n">
        <v>0.162162</v>
      </c>
      <c r="AG36" s="34" t="n">
        <v>0.162162</v>
      </c>
      <c r="AH36" s="34" t="n">
        <v>0.135135</v>
      </c>
      <c r="AI36" s="34" t="n">
        <v>0.297297</v>
      </c>
      <c r="AJ36" s="34" t="n">
        <v>0</v>
      </c>
      <c r="AK36" s="34" t="n">
        <v>0.189189</v>
      </c>
      <c r="AL36" s="34" t="n">
        <v>0.054054</v>
      </c>
      <c r="AM36" s="34" t="n">
        <v>0.108108</v>
      </c>
    </row>
    <row r="37" ht="24" customHeight="1">
      <c r="A37" s="9" t="n">
        <v>32</v>
      </c>
      <c r="B37" s="9" t="inlineStr">
        <is>
          <t>2025-11-01</t>
        </is>
      </c>
      <c r="C37" s="9" t="inlineStr">
        <is>
          <t>日本电影《恶女花魁》——樱花般的生命和爱</t>
        </is>
      </c>
      <c r="D37" s="9" t="n"/>
      <c r="E37" s="9" t="inlineStr">
        <is>
          <t>追剧观影</t>
        </is>
      </c>
      <c r="F37" s="9" t="inlineStr">
        <is>
          <t>低匹配</t>
        </is>
      </c>
      <c r="G37" s="9" t="inlineStr">
        <is>
          <t>审美滋养</t>
        </is>
      </c>
      <c r="H37" s="9" t="n">
        <v>1012</v>
      </c>
      <c r="I37" s="9" t="n">
        <v>192</v>
      </c>
      <c r="J37" s="9" t="n">
        <v>193</v>
      </c>
      <c r="K37" s="9" t="n">
        <v>10</v>
      </c>
      <c r="L37" s="9" t="n">
        <v>4</v>
      </c>
      <c r="M37" s="22">
        <f>IF(OR(J37="",J37=0,K37=""),"",K37/J37)</f>
        <v>0.051813471503</v>
      </c>
      <c r="N37" s="24">
        <f>IF(OR(K37="",K37=0,L37=""),"",L37/K37)</f>
        <v>0.4</v>
      </c>
      <c r="O37" s="24" t="n">
        <v>0.414243</v>
      </c>
      <c r="P37" s="9" t="n">
        <v>56</v>
      </c>
      <c r="Q37" s="9" t="n">
        <v>14</v>
      </c>
      <c r="R37" s="24">
        <f>IF(OR(H37="",H37=0,Q37=""),"",Q37/H37)</f>
        <v>0.013833992095</v>
      </c>
      <c r="S37" s="9" t="n">
        <v>16</v>
      </c>
      <c r="T37" s="9" t="n">
        <v>12</v>
      </c>
      <c r="U37" s="9" t="n">
        <v>30</v>
      </c>
      <c r="V37" s="24">
        <f>IF(OR(H37="",H37=0,U37=""),"",U37/H37)</f>
        <v>0.029644268775</v>
      </c>
      <c r="W37" s="9" t="n">
        <v>20</v>
      </c>
      <c r="X37" s="33">
        <f>IF(OR(U37="",U37=0,W37=""),"",W37/U37)</f>
        <v>0.666666666667</v>
      </c>
      <c r="Y37" s="9" t="n">
        <v>5</v>
      </c>
      <c r="Z37" s="24" t="n">
        <v>0.3063</v>
      </c>
      <c r="AA37" s="24" t="n">
        <v>0.1902</v>
      </c>
      <c r="AB37" s="24" t="n">
        <v>0.7927999999999999</v>
      </c>
      <c r="AC37" s="26" t="str">
        <f>IF(OR(Z37="",AA37=""),"",IF(AND(Z37&gt;=0.6,AA37&gt;=0.5),"高匹配",IF(OR(Z37&gt;=0.6,AA37&gt;=0.5),"中匹配","低匹配")))</f>
        <v>低匹配</v>
      </c>
      <c r="AD37" s="26" t="n">
        <v>5</v>
      </c>
      <c r="AE37" s="25">
        <f>IF(OR(H37="",H37=0,AD37=""),"",AD37/H37)</f>
        <v>0.004940711462</v>
      </c>
      <c r="AF37" s="34" t="n">
        <v>0.009880999999999999</v>
      </c>
      <c r="AG37" s="34" t="n">
        <v>0.011858</v>
      </c>
      <c r="AH37" s="34" t="n">
        <v>0.003953</v>
      </c>
      <c r="AI37" s="34" t="n">
        <v>0.01581</v>
      </c>
      <c r="AJ37" s="34" t="n">
        <v>0</v>
      </c>
      <c r="AK37" s="34" t="n">
        <v>0.940711</v>
      </c>
      <c r="AL37" s="34" t="n">
        <v>0.014822</v>
      </c>
      <c r="AM37" s="34" t="n">
        <v>0.011858</v>
      </c>
    </row>
    <row r="38" ht="24" customHeight="1">
      <c r="A38" s="9" t="n">
        <v>33</v>
      </c>
      <c r="B38" s="9" t="inlineStr">
        <is>
          <t>2025-10-31</t>
        </is>
      </c>
      <c r="C38" s="9" t="inlineStr">
        <is>
          <t>《人生四千周：停止“拯救”所有可能，反而让我收获更多》</t>
        </is>
      </c>
      <c r="D38" s="9" t="n"/>
      <c r="E38" s="9" t="inlineStr">
        <is>
          <t>生活感悟</t>
        </is>
      </c>
      <c r="F38" s="9" t="inlineStr">
        <is>
          <t>低匹配</t>
        </is>
      </c>
      <c r="G38" s="9" t="inlineStr">
        <is>
          <t>认知启发</t>
        </is>
      </c>
      <c r="H38" s="9" t="n">
        <v>41</v>
      </c>
      <c r="I38" s="9" t="n">
        <v>23</v>
      </c>
      <c r="J38" s="9" t="n">
        <v>192</v>
      </c>
      <c r="K38" s="9" t="n">
        <v>9</v>
      </c>
      <c r="L38" s="9" t="n">
        <v>0</v>
      </c>
      <c r="M38" s="22">
        <f>IF(OR(J38="",J38=0,K38=""),"",K38/J38)</f>
        <v>0.046875</v>
      </c>
      <c r="N38" s="24">
        <f>IF(OR(K38="",K38=0,L38=""),"",L38/K38)</f>
        <v>0</v>
      </c>
      <c r="O38" s="24" t="n">
        <v>0.269231</v>
      </c>
      <c r="P38" s="9" t="n">
        <v>45</v>
      </c>
      <c r="Q38" s="9" t="n"/>
      <c r="R38" s="24">
        <f>IF(OR(H38="",H38=0,Q38=""),"",Q38/H38)</f>
        <v/>
      </c>
      <c r="S38" s="9" t="n">
        <v>4</v>
      </c>
      <c r="T38" s="9" t="n">
        <v>4</v>
      </c>
      <c r="U38" s="9" t="n">
        <v>5</v>
      </c>
      <c r="V38" s="24">
        <f>IF(OR(H38="",H38=0,U38=""),"",U38/H38)</f>
        <v>0.121951219512</v>
      </c>
      <c r="W38" s="9" t="n">
        <v>19</v>
      </c>
      <c r="X38" s="33">
        <f>IF(OR(U38="",U38=0,W38=""),"",W38/U38)</f>
        <v>3.8</v>
      </c>
      <c r="Y38" s="9" t="n">
        <v>0</v>
      </c>
      <c r="Z38" s="24" t="n">
        <v>0.707317</v>
      </c>
      <c r="AA38" s="24" t="n">
        <v>0.560976</v>
      </c>
      <c r="AB38" s="24" t="n">
        <v>0.365854</v>
      </c>
      <c r="AC38" s="26" t="str">
        <f>IF(OR(Z38="",AA38=""),"",IF(AND(Z38&gt;=0.6,AA38&gt;=0.5),"高匹配",IF(OR(Z38&gt;=0.6,AA38&gt;=0.5),"中匹配","低匹配")))</f>
        <v>高匹配</v>
      </c>
      <c r="AD38" s="26" t="n">
        <v>0</v>
      </c>
      <c r="AE38" s="25">
        <f>IF(OR(H38="",H38=0,AD38=""),"",AD38/H38)</f>
        <v>0</v>
      </c>
      <c r="AF38" s="34" t="n">
        <v>0.195122</v>
      </c>
      <c r="AG38" s="34" t="n">
        <v>0.195122</v>
      </c>
      <c r="AH38" s="34" t="n">
        <v>0.073171</v>
      </c>
      <c r="AI38" s="34" t="n">
        <v>0.292683</v>
      </c>
      <c r="AJ38" s="34" t="n">
        <v>0</v>
      </c>
      <c r="AK38" s="34" t="n">
        <v>0.219512</v>
      </c>
      <c r="AL38" s="34" t="n">
        <v>0</v>
      </c>
      <c r="AM38" s="34" t="n">
        <v>0.04878</v>
      </c>
    </row>
    <row r="39" ht="24" customHeight="1">
      <c r="A39" s="9" t="n">
        <v>34</v>
      </c>
      <c r="B39" s="9" t="inlineStr">
        <is>
          <t>2025-10-30</t>
        </is>
      </c>
      <c r="C39" s="9" t="inlineStr">
        <is>
          <t>从小镇批发市场看人生：是什么决定了我们未来的样子？​</t>
        </is>
      </c>
      <c r="D39" s="9" t="n"/>
      <c r="E39" s="9" t="inlineStr">
        <is>
          <t>生活感悟</t>
        </is>
      </c>
      <c r="F39" s="9" t="inlineStr">
        <is>
          <t>中匹配</t>
        </is>
      </c>
      <c r="G39" s="9" t="inlineStr">
        <is>
          <t>认知启发</t>
        </is>
      </c>
      <c r="H39" s="9" t="n">
        <v>134</v>
      </c>
      <c r="I39" s="9" t="n">
        <v>78</v>
      </c>
      <c r="J39" s="9" t="n">
        <v>192</v>
      </c>
      <c r="K39" s="9" t="n">
        <v>12</v>
      </c>
      <c r="L39" s="9" t="n">
        <v>5</v>
      </c>
      <c r="M39" s="22">
        <f>IF(OR(J39="",J39=0,K39=""),"",K39/J39)</f>
        <v>0.0625</v>
      </c>
      <c r="N39" s="24">
        <f>IF(OR(K39="",K39=0,L39=""),"",L39/K39)</f>
        <v>0.416666666667</v>
      </c>
      <c r="O39" s="24" t="n">
        <v>0.472603</v>
      </c>
      <c r="P39" s="9" t="n">
        <v>45</v>
      </c>
      <c r="Q39" s="9" t="n"/>
      <c r="R39" s="24">
        <f>IF(OR(H39="",H39=0,Q39=""),"",Q39/H39)</f>
        <v/>
      </c>
      <c r="S39" s="9" t="n">
        <v>8</v>
      </c>
      <c r="T39" s="9" t="n">
        <v>6</v>
      </c>
      <c r="U39" s="9" t="n">
        <v>7</v>
      </c>
      <c r="V39" s="24">
        <f>IF(OR(H39="",H39=0,U39=""),"",U39/H39)</f>
        <v>0.05223880597</v>
      </c>
      <c r="W39" s="9" t="n">
        <v>30</v>
      </c>
      <c r="X39" s="33">
        <f>IF(OR(U39="",U39=0,W39=""),"",W39/U39)</f>
        <v>4.285714285714</v>
      </c>
      <c r="Y39" s="9" t="n">
        <v>0</v>
      </c>
      <c r="Z39" s="24" t="n">
        <v>0.358209</v>
      </c>
      <c r="AA39" s="24" t="n">
        <v>0.58209</v>
      </c>
      <c r="AB39" s="24" t="n">
        <v>0.380597</v>
      </c>
      <c r="AC39" s="26" t="str">
        <f>IF(OR(Z39="",AA39=""),"",IF(AND(Z39&gt;=0.6,AA39&gt;=0.5),"高匹配",IF(OR(Z39&gt;=0.6,AA39&gt;=0.5),"中匹配","低匹配")))</f>
        <v>中匹配</v>
      </c>
      <c r="AD39" s="26" t="n">
        <v>0</v>
      </c>
      <c r="AE39" s="25">
        <f>IF(OR(H39="",H39=0,AD39=""),"",AD39/H39)</f>
        <v>0</v>
      </c>
      <c r="AF39" s="34" t="n">
        <v>0.074627</v>
      </c>
      <c r="AG39" s="34" t="n">
        <v>0.067164</v>
      </c>
      <c r="AH39" s="34" t="n">
        <v>0.029851</v>
      </c>
      <c r="AI39" s="34" t="n">
        <v>0.156716</v>
      </c>
      <c r="AJ39" s="34" t="n">
        <v>0.007463</v>
      </c>
      <c r="AK39" s="34" t="n">
        <v>0.686567</v>
      </c>
      <c r="AL39" s="34" t="n">
        <v>0</v>
      </c>
      <c r="AM39" s="34" t="n">
        <v>0.007463</v>
      </c>
    </row>
    <row r="40" ht="24" customHeight="1">
      <c r="A40" s="9" t="n">
        <v>35</v>
      </c>
      <c r="B40" s="9" t="inlineStr">
        <is>
          <t>2025-10-29</t>
        </is>
      </c>
      <c r="C40" s="9" t="inlineStr">
        <is>
          <t>专注力UP！一个改变让‘黏人精’独立玩了1小时​</t>
        </is>
      </c>
      <c r="D40" s="9" t="n"/>
      <c r="E40" s="9" t="inlineStr">
        <is>
          <t>育儿育己</t>
        </is>
      </c>
      <c r="F40" s="9" t="inlineStr">
        <is>
          <t>低匹配</t>
        </is>
      </c>
      <c r="G40" s="9" t="inlineStr">
        <is>
          <t>实用方法</t>
        </is>
      </c>
      <c r="H40" s="9" t="n">
        <v>34</v>
      </c>
      <c r="I40" s="9" t="n">
        <v>24</v>
      </c>
      <c r="J40" s="9" t="n">
        <v>193</v>
      </c>
      <c r="K40" s="9" t="n">
        <v>12</v>
      </c>
      <c r="L40" s="9" t="n">
        <v>5</v>
      </c>
      <c r="M40" s="22">
        <f>IF(OR(J40="",J40=0,K40=""),"",K40/J40)</f>
        <v>0.062176165803</v>
      </c>
      <c r="N40" s="24">
        <f>IF(OR(K40="",K40=0,L40=""),"",L40/K40)</f>
        <v>0.416666666667</v>
      </c>
      <c r="O40" s="24" t="n">
        <v>0.621622</v>
      </c>
      <c r="P40" s="9" t="n">
        <v>55</v>
      </c>
      <c r="Q40" s="9" t="n"/>
      <c r="R40" s="24">
        <f>IF(OR(H40="",H40=0,Q40=""),"",Q40/H40)</f>
        <v/>
      </c>
      <c r="S40" s="9" t="n">
        <v>7</v>
      </c>
      <c r="T40" s="9" t="n">
        <v>6</v>
      </c>
      <c r="U40" s="9" t="n">
        <v>6</v>
      </c>
      <c r="V40" s="24">
        <f>IF(OR(H40="",H40=0,U40=""),"",U40/H40)</f>
        <v>0.176470588235</v>
      </c>
      <c r="W40" s="9" t="n">
        <v>12</v>
      </c>
      <c r="X40" s="33">
        <f>IF(OR(U40="",U40=0,W40=""),"",W40/U40)</f>
        <v>2</v>
      </c>
      <c r="Y40" s="9" t="n">
        <v>0</v>
      </c>
      <c r="Z40" s="24" t="n">
        <v>0.676471</v>
      </c>
      <c r="AA40" s="24" t="n">
        <v>0.705882</v>
      </c>
      <c r="AB40" s="24" t="n">
        <v>0.235294</v>
      </c>
      <c r="AC40" s="26" t="str">
        <f>IF(OR(Z40="",AA40=""),"",IF(AND(Z40&gt;=0.6,AA40&gt;=0.5),"高匹配",IF(OR(Z40&gt;=0.6,AA40&gt;=0.5),"中匹配","低匹配")))</f>
        <v>高匹配</v>
      </c>
      <c r="AD40" s="26" t="n">
        <v>0</v>
      </c>
      <c r="AE40" s="25">
        <f>IF(OR(H40="",H40=0,AD40=""),"",AD40/H40)</f>
        <v>0</v>
      </c>
      <c r="AF40" s="34" t="n">
        <v>0.323529</v>
      </c>
      <c r="AG40" s="34" t="n">
        <v>0.147059</v>
      </c>
      <c r="AH40" s="34" t="n">
        <v>0.058824</v>
      </c>
      <c r="AI40" s="34" t="n">
        <v>0.294118</v>
      </c>
      <c r="AJ40" s="34" t="n">
        <v>0.029412</v>
      </c>
      <c r="AK40" s="34" t="n">
        <v>0.176471</v>
      </c>
      <c r="AL40" s="34" t="n">
        <v>0</v>
      </c>
      <c r="AM40" s="34" t="n">
        <v>0</v>
      </c>
    </row>
    <row r="41" ht="24" customHeight="1">
      <c r="A41" s="9" t="n">
        <v>36</v>
      </c>
      <c r="B41" s="9" t="inlineStr">
        <is>
          <t>2025-10-28</t>
        </is>
      </c>
      <c r="C41" s="9" t="inlineStr">
        <is>
          <t>婆婆教我的事：真正的勇气，是敢于为“可能性”一试</t>
        </is>
      </c>
      <c r="D41" s="9" t="n"/>
      <c r="E41" s="9" t="inlineStr">
        <is>
          <t>生活感悟</t>
        </is>
      </c>
      <c r="F41" s="9" t="inlineStr">
        <is>
          <t>低匹配</t>
        </is>
      </c>
      <c r="G41" s="9" t="inlineStr">
        <is>
          <t>认知启发</t>
        </is>
      </c>
      <c r="H41" s="9" t="n">
        <v>64</v>
      </c>
      <c r="I41" s="9" t="n">
        <v>44</v>
      </c>
      <c r="J41" s="9" t="n">
        <v>193</v>
      </c>
      <c r="K41" s="9" t="n">
        <v>17</v>
      </c>
      <c r="L41" s="9" t="n">
        <v>6</v>
      </c>
      <c r="M41" s="22">
        <f>IF(OR(J41="",J41=0,K41=""),"",K41/J41)</f>
        <v>0.088082901554</v>
      </c>
      <c r="N41" s="24">
        <f>IF(OR(K41="",K41=0,L41=""),"",L41/K41)</f>
        <v>0.352941176471</v>
      </c>
      <c r="O41" s="24" t="n">
        <v>0.571429</v>
      </c>
      <c r="P41" s="9" t="n">
        <v>68</v>
      </c>
      <c r="Q41" s="9" t="n"/>
      <c r="R41" s="24">
        <f>IF(OR(H41="",H41=0,Q41=""),"",Q41/H41)</f>
        <v/>
      </c>
      <c r="S41" s="9" t="n">
        <v>8</v>
      </c>
      <c r="T41" s="9" t="n">
        <v>7</v>
      </c>
      <c r="U41" s="9" t="n">
        <v>9</v>
      </c>
      <c r="V41" s="24">
        <f>IF(OR(H41="",H41=0,U41=""),"",U41/H41)</f>
        <v>0.140625</v>
      </c>
      <c r="W41" s="9" t="n">
        <v>32</v>
      </c>
      <c r="X41" s="33">
        <f>IF(OR(U41="",U41=0,W41=""),"",W41/U41)</f>
        <v>3.555555555556</v>
      </c>
      <c r="Y41" s="9" t="n">
        <v>2</v>
      </c>
      <c r="Z41" s="24" t="n">
        <v>0.796875</v>
      </c>
      <c r="AA41" s="24" t="n">
        <v>0.6875</v>
      </c>
      <c r="AB41" s="24" t="n">
        <v>0.28125</v>
      </c>
      <c r="AC41" s="26" t="str">
        <f>IF(OR(Z41="",AA41=""),"",IF(AND(Z41&gt;=0.6,AA41&gt;=0.5),"高匹配",IF(OR(Z41&gt;=0.6,AA41&gt;=0.5),"中匹配","低匹配")))</f>
        <v>高匹配</v>
      </c>
      <c r="AD41" s="26" t="n">
        <v>2</v>
      </c>
      <c r="AE41" s="25">
        <f>IF(OR(H41="",H41=0,AD41=""),"",AD41/H41)</f>
        <v>0.03125</v>
      </c>
      <c r="AF41" s="34" t="n">
        <v>0.25</v>
      </c>
      <c r="AG41" s="34" t="n">
        <v>0.203125</v>
      </c>
      <c r="AH41" s="34" t="n">
        <v>0.03125</v>
      </c>
      <c r="AI41" s="34" t="n">
        <v>0.40625</v>
      </c>
      <c r="AJ41" s="34" t="n">
        <v>0</v>
      </c>
      <c r="AK41" s="34" t="n">
        <v>0.078125</v>
      </c>
      <c r="AL41" s="34" t="n">
        <v>0</v>
      </c>
      <c r="AM41" s="34" t="n">
        <v>0.046875</v>
      </c>
    </row>
    <row r="42" ht="24" customHeight="1">
      <c r="A42" s="9" t="n">
        <v>37</v>
      </c>
      <c r="B42" s="9" t="inlineStr">
        <is>
          <t>2025-10-27</t>
        </is>
      </c>
      <c r="C42" s="9" t="inlineStr">
        <is>
          <t>如花美眷，似水流年 ——小评电影《柳如是》</t>
        </is>
      </c>
      <c r="D42" s="9" t="n"/>
      <c r="E42" s="9" t="inlineStr">
        <is>
          <t>追剧观影</t>
        </is>
      </c>
      <c r="F42" s="9" t="inlineStr">
        <is>
          <t>高匹配</t>
        </is>
      </c>
      <c r="G42" s="9" t="inlineStr">
        <is>
          <t>审美滋养</t>
        </is>
      </c>
      <c r="H42" s="9" t="n">
        <v>244</v>
      </c>
      <c r="I42" s="9" t="n">
        <v>74</v>
      </c>
      <c r="J42" s="9" t="n">
        <v>191</v>
      </c>
      <c r="K42" s="9" t="n">
        <v>5</v>
      </c>
      <c r="L42" s="9" t="n">
        <v>2</v>
      </c>
      <c r="M42" s="22">
        <f>IF(OR(J42="",J42=0,K42=""),"",K42/J42)</f>
        <v>0.026178010471</v>
      </c>
      <c r="N42" s="24">
        <f>IF(OR(K42="",K42=0,L42=""),"",L42/K42)</f>
        <v>0.4</v>
      </c>
      <c r="O42" s="24" t="n">
        <v>0.38488</v>
      </c>
      <c r="P42" s="9" t="n">
        <v>95</v>
      </c>
      <c r="Q42" s="9" t="n"/>
      <c r="R42" s="24">
        <f>IF(OR(H42="",H42=0,Q42=""),"",Q42/H42)</f>
        <v/>
      </c>
      <c r="S42" s="9" t="n">
        <v>12</v>
      </c>
      <c r="T42" s="9" t="n">
        <v>9</v>
      </c>
      <c r="U42" s="9" t="n">
        <v>28</v>
      </c>
      <c r="V42" s="24">
        <f>IF(OR(H42="",H42=0,U42=""),"",U42/H42)</f>
        <v>0.114754098361</v>
      </c>
      <c r="W42" s="9" t="n">
        <v>50</v>
      </c>
      <c r="X42" s="33">
        <f>IF(OR(U42="",U42=0,W42=""),"",W42/U42)</f>
        <v>1.785714285714</v>
      </c>
      <c r="Y42" s="9" t="n">
        <v>3</v>
      </c>
      <c r="Z42" s="24" t="n">
        <v>0.348361</v>
      </c>
      <c r="AA42" s="24" t="n">
        <v>0.303279</v>
      </c>
      <c r="AB42" s="24" t="n">
        <v>0.6885250000000001</v>
      </c>
      <c r="AC42" s="26" t="str">
        <f>IF(OR(Z42="",AA42=""),"",IF(AND(Z42&gt;=0.6,AA42&gt;=0.5),"高匹配",IF(OR(Z42&gt;=0.6,AA42&gt;=0.5),"中匹配","低匹配")))</f>
        <v>低匹配</v>
      </c>
      <c r="AD42" s="26" t="n">
        <v>3</v>
      </c>
      <c r="AE42" s="25">
        <f>IF(OR(H42="",H42=0,AD42=""),"",AD42/H42)</f>
        <v>0.012295081967</v>
      </c>
      <c r="AF42" s="34" t="n">
        <v>0.016393</v>
      </c>
      <c r="AG42" s="34" t="n">
        <v>0.07377</v>
      </c>
      <c r="AH42" s="34" t="n">
        <v>0.040984</v>
      </c>
      <c r="AI42" s="34" t="n">
        <v>0.139344</v>
      </c>
      <c r="AJ42" s="34" t="n">
        <v>0.004098</v>
      </c>
      <c r="AK42" s="34" t="n">
        <v>0.647541</v>
      </c>
      <c r="AL42" s="34" t="n">
        <v>0.069672</v>
      </c>
      <c r="AM42" s="34" t="n">
        <v>0.028689</v>
      </c>
    </row>
    <row r="43" ht="24" customHeight="1">
      <c r="A43" s="9" t="n">
        <v>38</v>
      </c>
      <c r="B43" s="9" t="inlineStr">
        <is>
          <t>2025-10-26</t>
        </is>
      </c>
      <c r="C43" s="9" t="inlineStr">
        <is>
          <t>“我永远不会回到以前的生活了”：一位母亲的身份重构笔记</t>
        </is>
      </c>
      <c r="D43" s="9" t="n"/>
      <c r="E43" s="9" t="inlineStr">
        <is>
          <t>育儿育己</t>
        </is>
      </c>
      <c r="F43" s="9" t="inlineStr">
        <is>
          <t>高匹配</t>
        </is>
      </c>
      <c r="G43" s="9" t="inlineStr">
        <is>
          <t>认知启发</t>
        </is>
      </c>
      <c r="H43" s="9" t="n">
        <v>83</v>
      </c>
      <c r="I43" s="9" t="n">
        <v>59</v>
      </c>
      <c r="J43" s="9" t="n">
        <v>190</v>
      </c>
      <c r="K43" s="9" t="n">
        <v>9</v>
      </c>
      <c r="L43" s="9" t="n">
        <v>1</v>
      </c>
      <c r="M43" s="22">
        <f>IF(OR(J43="",J43=0,K43=""),"",K43/J43)</f>
        <v>0.047368421053</v>
      </c>
      <c r="N43" s="24">
        <f>IF(OR(K43="",K43=0,L43=""),"",L43/K43)</f>
        <v>0.111111111111</v>
      </c>
      <c r="O43" s="24" t="n">
        <v>0.607143</v>
      </c>
      <c r="P43" s="9" t="n">
        <v>133</v>
      </c>
      <c r="Q43" s="9" t="n"/>
      <c r="R43" s="24">
        <f>IF(OR(H43="",H43=0,Q43=""),"",Q43/H43)</f>
        <v/>
      </c>
      <c r="S43" s="9" t="n">
        <v>8</v>
      </c>
      <c r="T43" s="9" t="n">
        <v>3</v>
      </c>
      <c r="U43" s="9" t="n">
        <v>7</v>
      </c>
      <c r="V43" s="24">
        <f>IF(OR(H43="",H43=0,U43=""),"",U43/H43)</f>
        <v>0.084337349398</v>
      </c>
      <c r="W43" s="9" t="n">
        <v>64</v>
      </c>
      <c r="X43" s="33">
        <f>IF(OR(U43="",U43=0,W43=""),"",W43/U43)</f>
        <v>9.142857142857</v>
      </c>
      <c r="Y43" s="9" t="n">
        <v>2</v>
      </c>
      <c r="Z43" s="24" t="n">
        <v>0.843373</v>
      </c>
      <c r="AA43" s="24" t="n">
        <v>0.710843</v>
      </c>
      <c r="AB43" s="24" t="n">
        <v>0.204819</v>
      </c>
      <c r="AC43" s="26" t="str">
        <f>IF(OR(Z43="",AA43=""),"",IF(AND(Z43&gt;=0.6,AA43&gt;=0.5),"高匹配",IF(OR(Z43&gt;=0.6,AA43&gt;=0.5),"中匹配","低匹配")))</f>
        <v>高匹配</v>
      </c>
      <c r="AD43" s="26" t="n">
        <v>2</v>
      </c>
      <c r="AE43" s="25">
        <f>IF(OR(H43="",H43=0,AD43=""),"",AD43/H43)</f>
        <v>0.024096385542</v>
      </c>
      <c r="AF43" s="34" t="n">
        <v>0.096386</v>
      </c>
      <c r="AG43" s="34" t="n">
        <v>0.26506</v>
      </c>
      <c r="AH43" s="34" t="n">
        <v>0.036145</v>
      </c>
      <c r="AI43" s="34" t="n">
        <v>0.554217</v>
      </c>
      <c r="AJ43" s="34" t="n">
        <v>0</v>
      </c>
      <c r="AK43" s="34" t="n">
        <v>0.060241</v>
      </c>
      <c r="AL43" s="34" t="n">
        <v>0.036145</v>
      </c>
      <c r="AM43" s="34" t="n">
        <v>0.024096</v>
      </c>
    </row>
    <row r="44" ht="24" customHeight="1">
      <c r="A44" s="9" t="n">
        <v>39</v>
      </c>
      <c r="B44" s="9" t="inlineStr">
        <is>
          <t>2024-08-15</t>
        </is>
      </c>
      <c r="C44" s="9" t="inlineStr">
        <is>
          <t>卷舒开合任天真——草木记忆之荷</t>
        </is>
      </c>
      <c r="D44" s="9" t="n"/>
      <c r="E44" s="9" t="inlineStr">
        <is>
          <t>植物美学</t>
        </is>
      </c>
      <c r="F44" s="9" t="inlineStr">
        <is>
          <t>高匹配</t>
        </is>
      </c>
      <c r="G44" s="9" t="inlineStr">
        <is>
          <t>审美滋养</t>
        </is>
      </c>
      <c r="H44" s="9" t="n">
        <v>34</v>
      </c>
      <c r="I44" s="9" t="n">
        <v>18</v>
      </c>
      <c r="J44" s="9" t="n">
        <v>188</v>
      </c>
      <c r="K44" s="9" t="n">
        <v>7</v>
      </c>
      <c r="L44" s="9" t="n">
        <v>6</v>
      </c>
      <c r="M44" s="22">
        <f>IF(OR(J44="",J44=0,K44=""),"",K44/J44)</f>
        <v>0.037234042553</v>
      </c>
      <c r="N44" s="24">
        <f>IF(OR(K44="",K44=0,L44=""),"",L44/K44)</f>
        <v>0.857142857143</v>
      </c>
      <c r="O44" s="24" t="n">
        <v>0.692308</v>
      </c>
      <c r="P44" s="9" t="n">
        <v>49</v>
      </c>
      <c r="Q44" s="9" t="n"/>
      <c r="R44" s="24">
        <f>IF(OR(H44="",H44=0,Q44=""),"",Q44/H44)</f>
        <v/>
      </c>
      <c r="S44" s="9" t="n">
        <v>6</v>
      </c>
      <c r="T44" s="9" t="n">
        <v>5</v>
      </c>
      <c r="U44" s="9" t="n">
        <v>7</v>
      </c>
      <c r="V44" s="24">
        <f>IF(OR(H44="",H44=0,U44=""),"",U44/H44)</f>
        <v>0.205882352941</v>
      </c>
      <c r="W44" s="9" t="n">
        <v>26</v>
      </c>
      <c r="X44" s="33">
        <f>IF(OR(U44="",U44=0,W44=""),"",W44/U44)</f>
        <v>3.714285714286</v>
      </c>
      <c r="Y44" s="9" t="n">
        <v>1</v>
      </c>
      <c r="Z44" s="24" t="n">
        <v>0.794118</v>
      </c>
      <c r="AA44" s="24" t="n">
        <v>0.529412</v>
      </c>
      <c r="AB44" s="24" t="n">
        <v>0.352941</v>
      </c>
      <c r="AC44" s="26" t="str">
        <f>IF(OR(Z44="",AA44=""),"",IF(AND(Z44&gt;=0.6,AA44&gt;=0.5),"高匹配",IF(OR(Z44&gt;=0.6,AA44&gt;=0.5),"中匹配","低匹配")))</f>
        <v>高匹配</v>
      </c>
      <c r="AD44" s="26" t="n">
        <v>1</v>
      </c>
      <c r="AE44" s="25">
        <f>IF(OR(H44="",H44=0,AD44=""),"",AD44/H44)</f>
        <v>0.029411764706</v>
      </c>
      <c r="AF44" s="34" t="n">
        <v>0.205882</v>
      </c>
      <c r="AG44" s="34" t="n">
        <v>0.08823499999999999</v>
      </c>
      <c r="AH44" s="34" t="n">
        <v>0.147059</v>
      </c>
      <c r="AI44" s="34" t="n">
        <v>0.5</v>
      </c>
      <c r="AJ44" s="34" t="n">
        <v>0.058824</v>
      </c>
      <c r="AK44" s="34" t="n">
        <v>0</v>
      </c>
      <c r="AL44" s="34" t="n">
        <v>0.029412</v>
      </c>
      <c r="AM44" s="34" t="n">
        <v>0</v>
      </c>
    </row>
    <row r="45" ht="24" customHeight="1">
      <c r="A45" s="9" t="n">
        <v>40</v>
      </c>
      <c r="B45" s="9" t="inlineStr">
        <is>
          <t>2024-08-13</t>
        </is>
      </c>
      <c r="C45" s="9" t="inlineStr">
        <is>
          <t>色疑琼树倚，香似玉京来——草木记忆之栀子花</t>
        </is>
      </c>
      <c r="D45" s="9" t="n"/>
      <c r="E45" s="9" t="inlineStr">
        <is>
          <t>植物美学</t>
        </is>
      </c>
      <c r="F45" s="9" t="inlineStr">
        <is>
          <t>高匹配</t>
        </is>
      </c>
      <c r="G45" s="9" t="inlineStr">
        <is>
          <t>审美滋养</t>
        </is>
      </c>
      <c r="H45" s="9" t="n">
        <v>45</v>
      </c>
      <c r="I45" s="9" t="n">
        <v>27</v>
      </c>
      <c r="J45" s="9" t="n">
        <v>185</v>
      </c>
      <c r="K45" s="9" t="n">
        <v>11</v>
      </c>
      <c r="L45" s="9" t="n">
        <v>3</v>
      </c>
      <c r="M45" s="22">
        <f>IF(OR(J45="",J45=0,K45=""),"",K45/J45)</f>
        <v>0.059459459459</v>
      </c>
      <c r="N45" s="24">
        <f>IF(OR(K45="",K45=0,L45=""),"",L45/K45)</f>
        <v>0.272727272727</v>
      </c>
      <c r="O45" s="24" t="n">
        <v>0.709091</v>
      </c>
      <c r="P45" s="9" t="n">
        <v>73</v>
      </c>
      <c r="Q45" s="9" t="n"/>
      <c r="R45" s="24">
        <f>IF(OR(H45="",H45=0,Q45=""),"",Q45/H45)</f>
        <v/>
      </c>
      <c r="S45" s="9" t="n">
        <v>7</v>
      </c>
      <c r="T45" s="9" t="n">
        <v>5</v>
      </c>
      <c r="U45" s="9" t="n">
        <v>5</v>
      </c>
      <c r="V45" s="24">
        <f>IF(OR(H45="",H45=0,U45=""),"",U45/H45)</f>
        <v>0.111111111111</v>
      </c>
      <c r="W45" s="9" t="n">
        <v>35</v>
      </c>
      <c r="X45" s="33">
        <f>IF(OR(U45="",U45=0,W45=""),"",W45/U45)</f>
        <v>7</v>
      </c>
      <c r="Y45" s="9" t="n">
        <v>1</v>
      </c>
      <c r="Z45" s="24" t="n">
        <v>0.755556</v>
      </c>
      <c r="AA45" s="24" t="n">
        <v>0.6</v>
      </c>
      <c r="AB45" s="24" t="n">
        <v>0.311111</v>
      </c>
      <c r="AC45" s="26" t="str">
        <f>IF(OR(Z45="",AA45=""),"",IF(AND(Z45&gt;=0.6,AA45&gt;=0.5),"高匹配",IF(OR(Z45&gt;=0.6,AA45&gt;=0.5),"中匹配","低匹配")))</f>
        <v>高匹配</v>
      </c>
      <c r="AD45" s="26" t="n">
        <v>1</v>
      </c>
      <c r="AE45" s="25">
        <f>IF(OR(H45="",H45=0,AD45=""),"",AD45/H45)</f>
        <v>0.022222222222</v>
      </c>
      <c r="AF45" s="34" t="n">
        <v>0.222222</v>
      </c>
      <c r="AG45" s="34" t="n">
        <v>0.088889</v>
      </c>
      <c r="AH45" s="34" t="n">
        <v>0.111111</v>
      </c>
      <c r="AI45" s="34" t="n">
        <v>0.577778</v>
      </c>
      <c r="AJ45" s="34" t="n">
        <v>0.022222</v>
      </c>
      <c r="AK45" s="34" t="n">
        <v>0</v>
      </c>
      <c r="AL45" s="34" t="n">
        <v>0</v>
      </c>
      <c r="AM45" s="34" t="n">
        <v>0.066667</v>
      </c>
    </row>
    <row r="46" ht="24" customHeight="1">
      <c r="A46" s="9" t="n">
        <v>41</v>
      </c>
      <c r="B46" s="9" t="inlineStr">
        <is>
          <t>2024-08-12</t>
        </is>
      </c>
      <c r="C46" s="9" t="inlineStr">
        <is>
          <t>蛰伏数年，只为一夏——蝉的信仰</t>
        </is>
      </c>
      <c r="D46" s="9" t="n"/>
      <c r="E46" s="9" t="inlineStr">
        <is>
          <t>生活感悟</t>
        </is>
      </c>
      <c r="F46" s="9" t="inlineStr">
        <is>
          <t>高匹配</t>
        </is>
      </c>
      <c r="G46" s="9" t="inlineStr">
        <is>
          <t>认知启发</t>
        </is>
      </c>
      <c r="H46" s="9" t="n">
        <v>73</v>
      </c>
      <c r="I46" s="9" t="n">
        <v>56</v>
      </c>
      <c r="J46" s="9" t="n">
        <v>184</v>
      </c>
      <c r="K46" s="9" t="n">
        <v>15</v>
      </c>
      <c r="L46" s="9" t="n">
        <v>0</v>
      </c>
      <c r="M46" s="22">
        <f>IF(OR(J46="",J46=0,K46=""),"",K46/J46)</f>
        <v>0.08152173913</v>
      </c>
      <c r="N46" s="24">
        <f>IF(OR(K46="",K46=0,L46=""),"",L46/K46)</f>
        <v>0</v>
      </c>
      <c r="O46" s="24" t="n">
        <v>0.649485</v>
      </c>
      <c r="P46" s="9" t="n">
        <v>31</v>
      </c>
      <c r="Q46" s="9" t="n"/>
      <c r="R46" s="24">
        <f>IF(OR(H46="",H46=0,Q46=""),"",Q46/H46)</f>
        <v/>
      </c>
      <c r="S46" s="9" t="n">
        <v>7</v>
      </c>
      <c r="T46" s="9" t="n">
        <v>2</v>
      </c>
      <c r="U46" s="9" t="n">
        <v>4</v>
      </c>
      <c r="V46" s="24">
        <f>IF(OR(H46="",H46=0,U46=""),"",U46/H46)</f>
        <v>0.054794520548</v>
      </c>
      <c r="W46" s="9" t="n">
        <v>59</v>
      </c>
      <c r="X46" s="33">
        <f>IF(OR(U46="",U46=0,W46=""),"",W46/U46)</f>
        <v>14.75</v>
      </c>
      <c r="Y46" s="9" t="n">
        <v>1</v>
      </c>
      <c r="Z46" s="24" t="n">
        <v>0.794521</v>
      </c>
      <c r="AA46" s="24" t="n">
        <v>0.767123</v>
      </c>
      <c r="AB46" s="24" t="n">
        <v>0.178082</v>
      </c>
      <c r="AC46" s="26" t="str">
        <f>IF(OR(Z46="",AA46=""),"",IF(AND(Z46&gt;=0.6,AA46&gt;=0.5),"高匹配",IF(OR(Z46&gt;=0.6,AA46&gt;=0.5),"中匹配","低匹配")))</f>
        <v>高匹配</v>
      </c>
      <c r="AD46" s="26" t="n">
        <v>1</v>
      </c>
      <c r="AE46" s="25">
        <f>IF(OR(H46="",H46=0,AD46=""),"",AD46/H46)</f>
        <v>0.013698630137</v>
      </c>
      <c r="AF46" s="34" t="n">
        <v>0.164384</v>
      </c>
      <c r="AG46" s="34" t="n">
        <v>0.123288</v>
      </c>
      <c r="AH46" s="34" t="n">
        <v>0.054795</v>
      </c>
      <c r="AI46" s="34" t="n">
        <v>0.6301369999999999</v>
      </c>
      <c r="AJ46" s="34" t="n">
        <v>0</v>
      </c>
      <c r="AK46" s="34" t="n">
        <v>0</v>
      </c>
      <c r="AL46" s="34" t="n">
        <v>0.136986</v>
      </c>
      <c r="AM46" s="34" t="n">
        <v>0.013699</v>
      </c>
    </row>
    <row r="47" ht="24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22">
        <f>IF(OR(J47="",J47=0,K47=""),"",K47/J47)</f>
        <v/>
      </c>
      <c r="N47" s="24">
        <f>IF(OR(K47="",K47=0,L47=""),"",L47/K47)</f>
        <v/>
      </c>
      <c r="O47" s="24" t="n"/>
      <c r="P47" s="9" t="n"/>
      <c r="Q47" s="9" t="n"/>
      <c r="R47" s="24">
        <f>IF(OR(H47="",H47=0,Q47=""),"",Q47/H47)</f>
        <v/>
      </c>
      <c r="S47" s="9" t="n"/>
      <c r="T47" s="9" t="n"/>
      <c r="U47" s="9" t="n"/>
      <c r="V47" s="24">
        <f>IF(OR(H47="",H47=0,U47=""),"",U47/H47)</f>
        <v/>
      </c>
      <c r="W47" s="9" t="n"/>
      <c r="X47" s="33">
        <f>IF(OR(U47="",U47=0,W47=""),"",W47/U47)</f>
        <v/>
      </c>
      <c r="Y47" s="9" t="n"/>
      <c r="Z47" s="24" t="n"/>
      <c r="AA47" s="24" t="n"/>
      <c r="AB47" s="24" t="n"/>
      <c r="AC47" s="26">
        <f>IF(OR(Z47="",AA47=""),"",IF(AND(Z47&gt;=0.6,AA47&gt;=0.5),"高匹配",IF(OR(Z47&gt;=0.6,AA47&gt;=0.5),"中匹配","低匹配")))</f>
        <v/>
      </c>
      <c r="AD47" s="26" t="n"/>
      <c r="AE47" s="25">
        <f>IF(OR(H47="",H47=0,AD47=""),"",AD47/H47)</f>
        <v/>
      </c>
      <c r="AF47" s="26" t="n"/>
      <c r="AG47" s="26" t="n"/>
      <c r="AH47" s="26" t="n"/>
      <c r="AI47" s="26" t="n"/>
      <c r="AJ47" s="26" t="n"/>
      <c r="AK47" s="26" t="n"/>
      <c r="AL47" s="26" t="n"/>
      <c r="AM47" s="26" t="n"/>
    </row>
    <row r="48" ht="24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22">
        <f>IF(OR(J48="",J48=0,K48=""),"",K48/J48)</f>
        <v/>
      </c>
      <c r="N48" s="24">
        <f>IF(OR(K48="",K48=0,L48=""),"",L48/K48)</f>
        <v/>
      </c>
      <c r="O48" s="24" t="n"/>
      <c r="P48" s="9" t="n"/>
      <c r="Q48" s="9" t="n"/>
      <c r="R48" s="24">
        <f>IF(OR(H48="",H48=0,Q48=""),"",Q48/H48)</f>
        <v/>
      </c>
      <c r="S48" s="9" t="n"/>
      <c r="T48" s="9" t="n"/>
      <c r="U48" s="9" t="n"/>
      <c r="V48" s="24">
        <f>IF(OR(H48="",H48=0,U48=""),"",U48/H48)</f>
        <v/>
      </c>
      <c r="W48" s="9" t="n"/>
      <c r="X48" s="33">
        <f>IF(OR(U48="",U48=0,W48=""),"",W48/U48)</f>
        <v/>
      </c>
      <c r="Y48" s="9" t="n"/>
      <c r="Z48" s="24" t="n"/>
      <c r="AA48" s="24" t="n"/>
      <c r="AB48" s="24" t="n"/>
      <c r="AC48" s="26">
        <f>IF(OR(Z48="",AA48=""),"",IF(AND(Z48&gt;=0.6,AA48&gt;=0.5),"高匹配",IF(OR(Z48&gt;=0.6,AA48&gt;=0.5),"中匹配","低匹配")))</f>
        <v/>
      </c>
      <c r="AD48" s="26" t="n"/>
      <c r="AE48" s="25">
        <f>IF(OR(H48="",H48=0,AD48=""),"",AD48/H48)</f>
        <v/>
      </c>
      <c r="AF48" s="26" t="n"/>
      <c r="AG48" s="26" t="n"/>
      <c r="AH48" s="26" t="n"/>
      <c r="AI48" s="26" t="n"/>
      <c r="AJ48" s="26" t="n"/>
      <c r="AK48" s="26" t="n"/>
      <c r="AL48" s="26" t="n"/>
      <c r="AM48" s="26" t="n"/>
    </row>
    <row r="49" ht="24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22">
        <f>IF(OR(J49="",J49=0,K49=""),"",K49/J49)</f>
        <v/>
      </c>
      <c r="N49" s="24">
        <f>IF(OR(K49="",K49=0,L49=""),"",L49/K49)</f>
        <v/>
      </c>
      <c r="O49" s="24" t="n"/>
      <c r="P49" s="9" t="n"/>
      <c r="Q49" s="9" t="n"/>
      <c r="R49" s="24">
        <f>IF(OR(H49="",H49=0,Q49=""),"",Q49/H49)</f>
        <v/>
      </c>
      <c r="S49" s="9" t="n"/>
      <c r="T49" s="9" t="n"/>
      <c r="U49" s="9" t="n"/>
      <c r="V49" s="24">
        <f>IF(OR(H49="",H49=0,U49=""),"",U49/H49)</f>
        <v/>
      </c>
      <c r="W49" s="9" t="n"/>
      <c r="X49" s="33">
        <f>IF(OR(U49="",U49=0,W49=""),"",W49/U49)</f>
        <v/>
      </c>
      <c r="Y49" s="9" t="n"/>
      <c r="Z49" s="24" t="n"/>
      <c r="AA49" s="24" t="n"/>
      <c r="AB49" s="24" t="n"/>
      <c r="AC49" s="26">
        <f>IF(OR(Z49="",AA49=""),"",IF(AND(Z49&gt;=0.6,AA49&gt;=0.5),"高匹配",IF(OR(Z49&gt;=0.6,AA49&gt;=0.5),"中匹配","低匹配")))</f>
        <v/>
      </c>
      <c r="AD49" s="26" t="n"/>
      <c r="AE49" s="25">
        <f>IF(OR(H49="",H49=0,AD49=""),"",AD49/H49)</f>
        <v/>
      </c>
      <c r="AF49" s="26" t="n"/>
      <c r="AG49" s="26" t="n"/>
      <c r="AH49" s="26" t="n"/>
      <c r="AI49" s="26" t="n"/>
      <c r="AJ49" s="26" t="n"/>
      <c r="AK49" s="26" t="n"/>
      <c r="AL49" s="26" t="n"/>
      <c r="AM49" s="26" t="n"/>
    </row>
    <row r="50">
      <c r="A50" s="35" t="inlineStr">
        <is>
          <t>【填写说明】</t>
        </is>
      </c>
    </row>
    <row r="51" ht="20" customHeight="1">
      <c r="A51" s="36" t="inlineStr">
        <is>
          <t>第一层（基础信息）：序号自动编号 | 星期由发布日期自动生成 | 内容方向/人群匹配度/核心价值类型使用下拉菜单选择</t>
        </is>
      </c>
    </row>
    <row r="52" ht="20" customHeight="1">
      <c r="A52" s="36" t="inlineStr">
        <is>
          <t>第二层（流量表现）：阅读人数/送达人数/公众号消息阅读人数/首次分享人数从后台导出 | 目标人群阅读量＝阅读人数×25-45岁占比（对目标读者的触达，成绩单口径）| 订阅打开率=公众号消息阅读人数÷送达人数、订阅分享率=首次分享人数÷公众号消息阅读人数（自动算）| 推荐占比/搜一搜占比从单篇详情查看</t>
        </is>
      </c>
    </row>
    <row r="53" ht="20" customHeight="1">
      <c r="A53" s="36" t="inlineStr">
        <is>
          <t>第三层（内容质量）：完读率/停留时长从单篇详情查看 | 收藏率自动计算</t>
        </is>
      </c>
    </row>
    <row r="54" ht="20" customHeight="1">
      <c r="A54" s="36" t="inlineStr">
        <is>
          <t>第四层（传播转化）：点赞/在看/分享/读后关注从后台导出 | 分享率自动计算</t>
        </is>
      </c>
    </row>
    <row r="55" ht="20" customHeight="1">
      <c r="A55" s="36" t="inlineStr">
        <is>
          <t>第五层（人群匹配）：女性读者占比/25-45岁占比从单篇详情→用户画像查看 | 目标人群匹配度自动判断（女性≥60%且25-45岁≥50%为高匹配）| 涨粉转化率自动计算</t>
        </is>
      </c>
    </row>
    <row r="56" ht="20" customHeight="1">
      <c r="A56" s="36" t="inlineStr">
        <is>
          <t>第六层（阅读渠道构成）：各渠道占比 = 该渠道阅读人数 ÷ 阅读人数（趋势明细里按天多行，先汇总再算），自动计算；渠道去重差可能让各项之和不等于 100%</t>
        </is>
      </c>
    </row>
    <row r="57" ht="20" customHeight="1">
      <c r="A57" s="36" t="inlineStr">
        <is>
          <t>数据更新延迟：每日数据截至24点统计，次日中午12点前显示 | 单篇发布满24小时后才生成完整分析报表</t>
        </is>
      </c>
    </row>
    <row r="58">
      <c r="A58" s="36" t="inlineStr">
        <is>
          <t>核心指标参考：分享率≥2%合格≥10%强传播 | 完读率≥40%有推荐≥50%进优质池（订阅打开率的合格线请按后台同类账号自定）</t>
        </is>
      </c>
    </row>
  </sheetData>
  <mergeCells count="16">
    <mergeCell ref="A51:AM51"/>
    <mergeCell ref="A1:AM1"/>
    <mergeCell ref="H4:N4"/>
    <mergeCell ref="A2:AM2"/>
    <mergeCell ref="O4:R4"/>
    <mergeCell ref="AF4:AM4"/>
    <mergeCell ref="S4:Y4"/>
    <mergeCell ref="A50:AM50"/>
    <mergeCell ref="A56:AM56"/>
    <mergeCell ref="A4:G4"/>
    <mergeCell ref="A53:AM53"/>
    <mergeCell ref="A55:AM55"/>
    <mergeCell ref="A57:AM57"/>
    <mergeCell ref="A54:AM54"/>
    <mergeCell ref="A52:AM52"/>
    <mergeCell ref="Z4:AE4"/>
  </mergeCells>
  <conditionalFormatting sqref="M6:M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O4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:V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:Z4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:AA4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:AE4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H49">
    <cfRule type="colorScale" priority="7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conditionalFormatting sqref="I6:I49">
    <cfRule type="colorScale" priority="8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conditionalFormatting sqref="AB6:AB4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:AM6">
    <cfRule type="colorScale" priority="1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7:AM7">
    <cfRule type="colorScale" priority="1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8:AM8">
    <cfRule type="colorScale" priority="1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9:AM9">
    <cfRule type="colorScale" priority="1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0:AM10">
    <cfRule type="colorScale" priority="14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1:AM11">
    <cfRule type="colorScale" priority="15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2:AM12">
    <cfRule type="colorScale" priority="16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3:AM13">
    <cfRule type="colorScale" priority="17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4:AM14">
    <cfRule type="colorScale" priority="18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5:AM15">
    <cfRule type="colorScale" priority="19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6:AM16">
    <cfRule type="colorScale" priority="2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7:AM17">
    <cfRule type="colorScale" priority="2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8:AM18">
    <cfRule type="colorScale" priority="2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9:AM19">
    <cfRule type="colorScale" priority="2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0:AM20">
    <cfRule type="colorScale" priority="24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1:AM21">
    <cfRule type="colorScale" priority="25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2:AM22">
    <cfRule type="colorScale" priority="26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3:AM23">
    <cfRule type="colorScale" priority="27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4:AM24">
    <cfRule type="colorScale" priority="28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5:AM25">
    <cfRule type="colorScale" priority="29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6:AM26">
    <cfRule type="colorScale" priority="3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7:AM27">
    <cfRule type="colorScale" priority="3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8:AM28">
    <cfRule type="colorScale" priority="3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9:AM29">
    <cfRule type="colorScale" priority="3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0:AM30">
    <cfRule type="colorScale" priority="34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1:AM31">
    <cfRule type="colorScale" priority="35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2:AM32">
    <cfRule type="colorScale" priority="36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3:AM33">
    <cfRule type="colorScale" priority="37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4:AM34">
    <cfRule type="colorScale" priority="38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5:AM35">
    <cfRule type="colorScale" priority="39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6:AM36">
    <cfRule type="colorScale" priority="4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7:AM37">
    <cfRule type="colorScale" priority="4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8:AM38">
    <cfRule type="colorScale" priority="4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9:AM39">
    <cfRule type="colorScale" priority="4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0:AM40">
    <cfRule type="colorScale" priority="44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1:AM41">
    <cfRule type="colorScale" priority="45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2:AM42">
    <cfRule type="colorScale" priority="46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3:AM43">
    <cfRule type="colorScale" priority="47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4:AM44">
    <cfRule type="colorScale" priority="48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5:AM45">
    <cfRule type="colorScale" priority="49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6:AM46">
    <cfRule type="colorScale" priority="5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7:AM47">
    <cfRule type="colorScale" priority="5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8:AM48">
    <cfRule type="colorScale" priority="5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9:AM49">
    <cfRule type="colorScale" priority="5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dataValidations count="3">
    <dataValidation sqref="E6:E49" showDropDown="0" showInputMessage="0" showErrorMessage="0" allowBlank="1" errorTitle="输入错误" error="请选择5个内容方向之一" type="list">
      <formula1>"生活感悟,育儿育己,深度思考,植物美学,追剧观影"</formula1>
    </dataValidation>
    <dataValidation sqref="F6:F49" showDropDown="0" showInputMessage="0" showErrorMessage="0" allowBlank="1" type="list">
      <formula1>"高匹配,中匹配,低匹配"</formula1>
    </dataValidation>
    <dataValidation sqref="G6:G49" showDropDown="0" showInputMessage="0" showErrorMessage="0" allowBlank="1" type="list">
      <formula1>"情绪共鸣,认知启发,实用方法,审美滋养,纯粹记录"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4" topLeftCell="A5" activePane="bottomLeft" state="frozen"/>
      <selection activeCell="A1" sqref="A1"/>
      <selection pane="bottomLeft" activeCell="A4" sqref="A4:K14"/>
    </sheetView>
  </sheetViews>
  <sheetFormatPr baseColWidth="8" defaultColWidth="9" defaultRowHeight="16.8"/>
  <cols>
    <col width="12" customWidth="1" min="1" max="1"/>
    <col width="13" customWidth="1" min="2" max="2"/>
    <col width="11" customWidth="1" min="3" max="3"/>
    <col width="8" customWidth="1" min="4" max="4"/>
    <col width="11" customWidth="1" min="5" max="7"/>
    <col width="12" customWidth="1" min="8" max="8"/>
    <col width="14" customWidth="1" min="9" max="10"/>
    <col width="16" customWidth="1" min="11" max="11"/>
    <col width="10" customWidth="1" min="12" max="12"/>
    <col width="62" customWidth="1" min="13" max="13"/>
  </cols>
  <sheetData>
    <row r="1" ht="35" customHeight="1">
      <c r="A1" s="1" t="inlineStr">
        <is>
          <t>内容方向 × 核心价值类型 透视分析</t>
        </is>
      </c>
    </row>
    <row r="2" ht="22" customHeight="1">
      <c r="A2" s="2" t="inlineStr">
        <is>
          <t>按 内容方向×价值类型×匹配度 交叉分析；结论按流量结构分层比较（算法/混合/私域各自的同层水平，详见「流量结构透视」），样本&lt;3 篇仅供参考</t>
        </is>
      </c>
    </row>
    <row r="4" ht="30" customHeight="1">
      <c r="A4" s="3" t="inlineStr">
        <is>
          <t>内容方向</t>
        </is>
      </c>
      <c r="B4" s="3" t="inlineStr">
        <is>
          <t>核心价值类型</t>
        </is>
      </c>
      <c r="C4" s="3" t="inlineStr">
        <is>
          <t>人群匹配度</t>
        </is>
      </c>
      <c r="D4" s="3" t="inlineStr">
        <is>
          <t>文章数</t>
        </is>
      </c>
      <c r="E4" s="4" t="inlineStr">
        <is>
          <t>平均订阅打开率</t>
        </is>
      </c>
      <c r="F4" s="5" t="inlineStr">
        <is>
          <t>平均完读率</t>
        </is>
      </c>
      <c r="G4" s="6" t="inlineStr">
        <is>
          <t>平均分享率</t>
        </is>
      </c>
      <c r="H4" s="7" t="inlineStr">
        <is>
          <t>平均女性占比</t>
        </is>
      </c>
      <c r="I4" s="7" t="inlineStr">
        <is>
          <t>平均25-45岁占比</t>
        </is>
      </c>
      <c r="J4" s="7" t="inlineStr">
        <is>
          <t>平均涨粉转化率</t>
        </is>
      </c>
      <c r="K4" s="7" t="inlineStr">
        <is>
          <t>目标人群阅读合计</t>
        </is>
      </c>
      <c r="L4" s="7" t="inlineStr">
        <is>
          <t>精准涨粉</t>
        </is>
      </c>
      <c r="M4" s="12" t="inlineStr">
        <is>
          <t>结论与建议</t>
        </is>
      </c>
    </row>
    <row r="5" ht="104" customHeight="1">
      <c r="A5" s="8" t="inlineStr">
        <is>
          <t>生活感悟</t>
        </is>
      </c>
      <c r="B5" s="8" t="inlineStr">
        <is>
          <t>认知启发</t>
        </is>
      </c>
      <c r="C5" s="8" t="inlineStr">
        <is>
          <t>高匹配</t>
        </is>
      </c>
      <c r="D5" s="8" t="n">
        <v>5</v>
      </c>
      <c r="E5" s="27" t="n">
        <v>0.03324749153855977</v>
      </c>
      <c r="F5" s="27" t="n">
        <v>0.4493298</v>
      </c>
      <c r="G5" s="27" t="n">
        <v>0.1067483121608032</v>
      </c>
      <c r="H5" s="27" t="n">
        <v>0.7528042</v>
      </c>
      <c r="I5" s="27" t="n">
        <v>0.6614446</v>
      </c>
      <c r="J5" s="27" t="n">
        <v>0.009548603424509951</v>
      </c>
      <c r="K5" s="40" t="n">
        <v>238</v>
      </c>
      <c r="L5" s="41" t="n">
        <v>2.2</v>
      </c>
      <c r="M5" s="32" t="inlineStr">
        <is>
          <t>【定位】私域型为主 3/5 篇·基本盘轨（推荐占比 25.5%）｜各维度不低于同层
【诊断】完读率 44.9%（同层 45.2%）、分享率 10.7%（同层 11.3%）、涨粉转化率 1.0%（同层 0.9%）
【动作】私域基本盘稳——保持节奏，试探能不能被算法接住（改标题、换首发时段）</t>
        </is>
      </c>
    </row>
    <row r="6" ht="104" customHeight="1">
      <c r="A6" s="8" t="inlineStr">
        <is>
          <t>植物美学</t>
        </is>
      </c>
      <c r="B6" s="8" t="inlineStr">
        <is>
          <t>审美滋养</t>
        </is>
      </c>
      <c r="C6" s="8" t="inlineStr">
        <is>
          <t>高匹配</t>
        </is>
      </c>
      <c r="D6" s="8" t="n">
        <v>4</v>
      </c>
      <c r="E6" s="27" t="n">
        <v>0.03517741920960685</v>
      </c>
      <c r="F6" s="27" t="n">
        <v>0.60265375</v>
      </c>
      <c r="G6" s="27" t="n">
        <v>0.1412174779821839</v>
      </c>
      <c r="H6" s="27" t="n">
        <v>0.7174185</v>
      </c>
      <c r="I6" s="27" t="n">
        <v>0.546078</v>
      </c>
      <c r="J6" s="27" t="n">
        <v>0.02323668206021147</v>
      </c>
      <c r="K6" s="40" t="n">
        <v>101</v>
      </c>
      <c r="L6" s="41" t="n">
        <v>2.2</v>
      </c>
      <c r="M6" s="32" t="inlineStr">
        <is>
          <t>【定位】私域型为主 3/4 篇·基本盘轨（推荐占比 17.2%）｜各维度不低于同层
【诊断】完读率 60.3%（同层 46.6%）、分享率 14.1%（同层 12.2%）、涨粉转化率 2.3%（同层 1.0%）
【动作】私域基本盘稳——保持节奏，试探能不能被算法接住（改标题、换首发时段）</t>
        </is>
      </c>
    </row>
    <row r="7" ht="104" customHeight="1">
      <c r="A7" s="8" t="inlineStr">
        <is>
          <t>生活感悟</t>
        </is>
      </c>
      <c r="B7" s="8" t="inlineStr">
        <is>
          <t>情绪共鸣</t>
        </is>
      </c>
      <c r="C7" s="8" t="inlineStr">
        <is>
          <t>高匹配</t>
        </is>
      </c>
      <c r="D7" s="8" t="n">
        <v>4</v>
      </c>
      <c r="E7" s="27" t="n">
        <v>0.03201871606031786</v>
      </c>
      <c r="F7" s="27" t="n">
        <v>0.45332325</v>
      </c>
      <c r="G7" s="27" t="n">
        <v>0.1016025641025641</v>
      </c>
      <c r="H7" s="27" t="n">
        <v>0.7215</v>
      </c>
      <c r="I7" s="27" t="n">
        <v>0.6262</v>
      </c>
      <c r="J7" s="27" t="n">
        <v>0</v>
      </c>
      <c r="K7" s="40" t="n">
        <v>160</v>
      </c>
      <c r="L7" s="41" t="n">
        <v>0</v>
      </c>
      <c r="M7" s="32" t="inlineStr">
        <is>
          <t>【定位】私域型为主 3/4 篇·基本盘轨（推荐占比 29.9%）｜沉淀偏弱（只有同层的 0%）
【诊断】完读率 45.3%（同层 46.6%）、分享率 10.2%（同层 12.2%）、涨粉转化率 0.0%（同层 1.0%）
【动作】留不住人——文末补关注理由，并把该选题做成 2~3 篇系列</t>
        </is>
      </c>
    </row>
    <row r="8" ht="104" customHeight="1">
      <c r="A8" s="8" t="inlineStr">
        <is>
          <t>生活感悟</t>
        </is>
      </c>
      <c r="B8" s="8" t="inlineStr">
        <is>
          <t>认知启发</t>
        </is>
      </c>
      <c r="C8" s="8" t="inlineStr">
        <is>
          <t>中匹配</t>
        </is>
      </c>
      <c r="D8" s="8" t="n">
        <v>3</v>
      </c>
      <c r="E8" s="27" t="n">
        <v>0.04006692820829293</v>
      </c>
      <c r="F8" s="27" t="n">
        <v>0.2708993333333333</v>
      </c>
      <c r="G8" s="27" t="n">
        <v>0.07479846055372688</v>
      </c>
      <c r="H8" s="27" t="n">
        <v>0.437603</v>
      </c>
      <c r="I8" s="27" t="n">
        <v>0.5619299999999999</v>
      </c>
      <c r="J8" s="27" t="n">
        <v>0.0045662100456621</v>
      </c>
      <c r="K8" s="40" t="n">
        <v>268</v>
      </c>
      <c r="L8" s="41" t="n">
        <v>1.5</v>
      </c>
      <c r="M8" s="32" t="inlineStr">
        <is>
          <t>【定位】混合型为主 2/3 篇·基本盘轨（推荐占比 65.2%）｜内容承接偏弱（只有同层的 81%）
【诊断】完读率 27.1%（同层 33.3%）、分享率 7.5%（同层 6.2%）、涨粉转化率 0.5%（同层 0.5%）
【动作】私域读者愿意点开却读不完——中段节奏问题：缩短段落、前置结论</t>
        </is>
      </c>
    </row>
    <row r="9" ht="104" customHeight="1">
      <c r="A9" s="8" t="inlineStr">
        <is>
          <t>育儿育己</t>
        </is>
      </c>
      <c r="B9" s="8" t="inlineStr">
        <is>
          <t>认知启发</t>
        </is>
      </c>
      <c r="C9" s="8" t="inlineStr">
        <is>
          <t>高匹配</t>
        </is>
      </c>
      <c r="D9" s="8" t="n">
        <v>3</v>
      </c>
      <c r="E9" s="27" t="n">
        <v>0.03736012726209738</v>
      </c>
      <c r="F9" s="27" t="n">
        <v>0.351535</v>
      </c>
      <c r="G9" s="27" t="n">
        <v>0.06695288907568257</v>
      </c>
      <c r="H9" s="27" t="n">
        <v>0.7273576666666667</v>
      </c>
      <c r="I9" s="27" t="n">
        <v>0.6405476666666666</v>
      </c>
      <c r="J9" s="27" t="n">
        <v>0.01324046184738956</v>
      </c>
      <c r="K9" s="40" t="n">
        <v>302</v>
      </c>
      <c r="L9" s="41" t="n">
        <v>4.2</v>
      </c>
      <c r="M9" s="32" t="inlineStr">
        <is>
          <t>【定位】混合型为主 1/3 篇·基本盘轨（推荐占比 44.1%）｜传播偏弱（只有同层的 82%）
【诊断】完读率 35.2%（同层 36.4%）、分享率 6.7%（同层 8.2%）、涨粉转化率 1.3%（同层 0.7%）
【动作】读完不转发——加一句可转发的主张，或把结论做成清单</t>
        </is>
      </c>
    </row>
    <row r="10" ht="104" customHeight="1">
      <c r="A10" s="8" t="inlineStr">
        <is>
          <t>追剧观影</t>
        </is>
      </c>
      <c r="B10" s="8" t="inlineStr">
        <is>
          <t>认知启发</t>
        </is>
      </c>
      <c r="C10" s="8" t="inlineStr">
        <is>
          <t>中匹配</t>
        </is>
      </c>
      <c r="D10" s="8" t="n">
        <v>3</v>
      </c>
      <c r="E10" s="27" t="n">
        <v>0.02187945215539399</v>
      </c>
      <c r="F10" s="27" t="n">
        <v>0.2415683333333333</v>
      </c>
      <c r="G10" s="27" t="n">
        <v>0.06225705078164095</v>
      </c>
      <c r="H10" s="27" t="n">
        <v>0.6194666666666667</v>
      </c>
      <c r="I10" s="27" t="n">
        <v>0.4982666666666667</v>
      </c>
      <c r="J10" s="27" t="n">
        <v>0.002702215816969915</v>
      </c>
      <c r="K10" s="40" t="n">
        <v>653</v>
      </c>
      <c r="L10" s="41" t="n">
        <v>1.5</v>
      </c>
      <c r="M10" s="32" t="inlineStr">
        <is>
          <t>【定位】算法型为主 2/3 篇·增长轨（推荐占比 70.0%）｜沉淀偏弱（只有同层的 38%）
【诊断】完读率 24.2%（同层 30.1%）、分享率 6.2%（同层 6.6%）、涨粉转化率 0.3%（同层 0.7%）
【动作】选题偏窄或引导弱——换更普适的钩子，文末补关注理由</t>
        </is>
      </c>
    </row>
    <row r="11" ht="104" customHeight="1">
      <c r="A11" s="8" t="inlineStr">
        <is>
          <t>植物美学</t>
        </is>
      </c>
      <c r="B11" s="8" t="inlineStr">
        <is>
          <t>审美滋养</t>
        </is>
      </c>
      <c r="C11" s="8" t="inlineStr">
        <is>
          <t>中匹配</t>
        </is>
      </c>
      <c r="D11" s="8" t="n">
        <v>2</v>
      </c>
      <c r="E11" s="27" t="n">
        <v>0.02614196148678907</v>
      </c>
      <c r="F11" s="27" t="n">
        <v>0.310145</v>
      </c>
      <c r="G11" s="27" t="n">
        <v>0.06049991198732617</v>
      </c>
      <c r="H11" s="27" t="n">
        <v>0.6651</v>
      </c>
      <c r="I11" s="27" t="n">
        <v>0.2121</v>
      </c>
      <c r="J11" s="27" t="n">
        <v>0.005359971835944376</v>
      </c>
      <c r="K11" s="40" t="n">
        <v>114</v>
      </c>
      <c r="L11" s="41" t="n">
        <v>0.4</v>
      </c>
      <c r="M11" s="32" t="inlineStr">
        <is>
          <t>【定位】样本2篇｜算法型为主 2/2 篇·增长轨（推荐占比 79.9%）｜各维度不低于同层
【诊断】完读率 31.0%（同层 20.7%）、分享率 6.0%（同层 3.1%）、涨粉转化率 0.5%（同层 0.5%）
【动作】算法已经接住——保持选题方向，把完读率与关注转化当下一阶段指标</t>
        </is>
      </c>
    </row>
    <row r="12" ht="104" customHeight="1">
      <c r="A12" s="8" t="inlineStr">
        <is>
          <t>生活感悟</t>
        </is>
      </c>
      <c r="B12" s="8" t="inlineStr">
        <is>
          <t>认知启发</t>
        </is>
      </c>
      <c r="C12" s="8" t="inlineStr">
        <is>
          <t>低匹配</t>
        </is>
      </c>
      <c r="D12" s="8" t="n">
        <v>2</v>
      </c>
      <c r="E12" s="27" t="n">
        <v>0.06747895077720206</v>
      </c>
      <c r="F12" s="27" t="n">
        <v>0.42033</v>
      </c>
      <c r="G12" s="27" t="n">
        <v>0.1312881097560976</v>
      </c>
      <c r="H12" s="27" t="n">
        <v>0.752096</v>
      </c>
      <c r="I12" s="27" t="n">
        <v>0.6242380000000001</v>
      </c>
      <c r="J12" s="27" t="n">
        <v>0.015625</v>
      </c>
      <c r="K12" s="40" t="n">
        <v>67</v>
      </c>
      <c r="L12" s="41" t="n">
        <v>1.4</v>
      </c>
      <c r="M12" s="32" t="inlineStr">
        <is>
          <t>【定位】样本2篇｜私域型为主 2/2 篇·基本盘轨（推荐占比 14.9%）｜内容承接偏弱（只有同层的 86%）
【诊断】完读率 42.0%（同层 48.9%）、分享率 13.1%（同层 13.6%）、涨粉转化率 1.6%（同层 1.1%）
【动作】私域读者愿意点开却读不完——中段节奏问题：缩短段落、前置结论</t>
        </is>
      </c>
    </row>
    <row r="13" ht="104" customHeight="1">
      <c r="A13" s="8" t="inlineStr">
        <is>
          <t>育儿育己</t>
        </is>
      </c>
      <c r="B13" s="8" t="inlineStr">
        <is>
          <t>情绪共鸣</t>
        </is>
      </c>
      <c r="C13" s="8" t="inlineStr">
        <is>
          <t>高匹配</t>
        </is>
      </c>
      <c r="D13" s="8" t="n">
        <v>2</v>
      </c>
      <c r="E13" s="27" t="n">
        <v>0.0172881050386083</v>
      </c>
      <c r="F13" s="27" t="n">
        <v>0.4102915</v>
      </c>
      <c r="G13" s="27" t="n">
        <v>0.1001478196600148</v>
      </c>
      <c r="H13" s="27" t="n">
        <v>0.79335</v>
      </c>
      <c r="I13" s="27" t="n">
        <v>0.6748</v>
      </c>
      <c r="J13" s="27" t="n">
        <v>0.003048780487804878</v>
      </c>
      <c r="K13" s="40" t="n">
        <v>134</v>
      </c>
      <c r="L13" s="41" t="n">
        <v>0.7</v>
      </c>
      <c r="M13" s="32" t="inlineStr">
        <is>
          <t>【定位】样本2篇｜私域型为主 1/2 篇·基本盘轨（推荐占比 25.9%）｜沉淀偏弱（只有同层的 37%）
【诊断】完读率 41.0%（同层 44.3%）、分享率 10.0%（同层 10.7%）、涨粉转化率 0.3%（同层 0.8%）
【动作】留不住人——文末补关注理由，并把该选题做成 2~3 篇系列</t>
        </is>
      </c>
    </row>
    <row r="14" ht="104" customHeight="1">
      <c r="A14" s="8" t="inlineStr">
        <is>
          <t>育儿育己</t>
        </is>
      </c>
      <c r="B14" s="8" t="inlineStr">
        <is>
          <t>认知启发</t>
        </is>
      </c>
      <c r="C14" s="8" t="inlineStr">
        <is>
          <t>中匹配</t>
        </is>
      </c>
      <c r="D14" s="8" t="n">
        <v>2</v>
      </c>
      <c r="E14" s="27" t="n">
        <v>0.01355601798698814</v>
      </c>
      <c r="F14" s="27" t="n">
        <v>0.08484900000000001</v>
      </c>
      <c r="G14" s="27" t="n">
        <v>0.04584310970962294</v>
      </c>
      <c r="H14" s="27" t="n">
        <v>0.68885</v>
      </c>
      <c r="I14" s="27" t="n">
        <v>0.24525</v>
      </c>
      <c r="J14" s="27" t="n">
        <v>0</v>
      </c>
      <c r="K14" s="40" t="n">
        <v>132</v>
      </c>
      <c r="L14" s="41" t="n">
        <v>0</v>
      </c>
      <c r="M14" s="32" t="inlineStr">
        <is>
          <t>【定位】样本2篇｜算法型为主 2/2 篇·增长轨（推荐占比 84.5%）｜沉淀偏弱（只有同层的 0%）
【诊断】完读率 8.5%（同层 20.7%）、分享率 4.6%（同层 3.1%）、涨粉转化率 0.0%（同层 0.5%）
【动作】选题偏窄或引导弱——换更普适的钩子，文末补关注理由</t>
        </is>
      </c>
    </row>
    <row r="15" ht="104" customHeight="1">
      <c r="A15" s="28" t="inlineStr">
        <is>
          <t>植物美学</t>
        </is>
      </c>
      <c r="B15" s="28" t="inlineStr">
        <is>
          <t>认知启发</t>
        </is>
      </c>
      <c r="C15" s="28" t="inlineStr">
        <is>
          <t>高匹配</t>
        </is>
      </c>
      <c r="D15" s="28" t="n">
        <v>1</v>
      </c>
      <c r="E15" s="29" t="n">
        <v>0.01840490797546012</v>
      </c>
      <c r="F15" s="29" t="n">
        <v>0.460317</v>
      </c>
      <c r="G15" s="29" t="n">
        <v>0.1111111111111111</v>
      </c>
      <c r="H15" s="29" t="n">
        <v>0.7302</v>
      </c>
      <c r="I15" s="29" t="n">
        <v>0.5714</v>
      </c>
      <c r="J15" s="29" t="n">
        <v>0.01587301587301587</v>
      </c>
      <c r="K15" s="40" t="n">
        <v>36</v>
      </c>
      <c r="L15" s="41" t="n">
        <v>0.6</v>
      </c>
      <c r="M15" s="32" t="inlineStr">
        <is>
          <t>【定位】样本1篇｜私域型为主 1/1 篇·基本盘轨（推荐占比 6.3%）｜传播偏弱（只有同层的 81%）
【诊断】完读率 46.0%（同层 48.9%）、分享率 11.1%（同层 13.6%）、涨粉转化率 1.6%（同层 1.1%）
【动作】读完不转发——加一句可转发的主张，或把结论做成清单</t>
        </is>
      </c>
    </row>
    <row r="16" ht="104" customHeight="1">
      <c r="A16" s="28" t="inlineStr">
        <is>
          <t>深度思考</t>
        </is>
      </c>
      <c r="B16" s="28" t="inlineStr">
        <is>
          <t>认知启发</t>
        </is>
      </c>
      <c r="C16" s="28" t="inlineStr">
        <is>
          <t>中匹配</t>
        </is>
      </c>
      <c r="D16" s="28" t="n">
        <v>1</v>
      </c>
      <c r="E16" s="29" t="n">
        <v>0.02010050251256281</v>
      </c>
      <c r="F16" s="29" t="n">
        <v>0.6</v>
      </c>
      <c r="G16" s="29" t="n">
        <v>0.1346153846153846</v>
      </c>
      <c r="H16" s="29" t="n">
        <v>0.6923</v>
      </c>
      <c r="I16" s="29" t="n">
        <v>0.4808</v>
      </c>
      <c r="J16" s="29" t="n">
        <v>0.01923076923076923</v>
      </c>
      <c r="K16" s="40" t="n">
        <v>25</v>
      </c>
      <c r="L16" s="41" t="n">
        <v>0.5</v>
      </c>
      <c r="M16" s="32" t="inlineStr">
        <is>
          <t>【定位】样本1篇｜混合型为主 1/1 篇·基本盘轨（推荐占比 30.8%）｜各维度不低于同层
【诊断】完读率 60.0%（同层 39.6%）、分享率 13.5%（同层 7.7%）、涨粉转化率 1.9%（同层 0.5%）
【动作】私域基本盘稳——保持节奏，试探能不能被算法接住（改标题、换首发时段）</t>
        </is>
      </c>
    </row>
    <row r="17" ht="104" customHeight="1">
      <c r="A17" s="28" t="inlineStr">
        <is>
          <t>深度思考</t>
        </is>
      </c>
      <c r="B17" s="28" t="inlineStr">
        <is>
          <t>认知启发</t>
        </is>
      </c>
      <c r="C17" s="28" t="inlineStr">
        <is>
          <t>低匹配</t>
        </is>
      </c>
      <c r="D17" s="28" t="n">
        <v>1</v>
      </c>
      <c r="E17" s="29" t="n">
        <v>0.1745283018867924</v>
      </c>
      <c r="F17" s="29" t="n">
        <v>0.207479</v>
      </c>
      <c r="G17" s="29" t="n">
        <v>0.03890313231523799</v>
      </c>
      <c r="H17" s="29" t="n">
        <v>0.192</v>
      </c>
      <c r="I17" s="29" t="n">
        <v>0.07439999999999999</v>
      </c>
      <c r="J17" s="29" t="n">
        <v>0.006576747296845391</v>
      </c>
      <c r="K17" s="40" t="n">
        <v>667</v>
      </c>
      <c r="L17" s="41" t="n">
        <v>4.4</v>
      </c>
      <c r="M17" s="32" t="inlineStr">
        <is>
          <t>【定位】样本1篇｜算法型为主 1/1 篇·增长轨（推荐占比 93.2%）｜各维度不低于同层
【诊断】完读率 20.7%（同层 20.7%）、分享率 3.9%（同层 3.1%）、涨粉转化率 0.7%（同层 0.5%）
【动作】算法已经接住——保持选题方向，把完读率与关注转化当下一阶段指标</t>
        </is>
      </c>
    </row>
    <row r="18" ht="104" customHeight="1">
      <c r="A18" s="28" t="inlineStr">
        <is>
          <t>生活感悟</t>
        </is>
      </c>
      <c r="B18" s="28" t="inlineStr">
        <is>
          <t>实用方法</t>
        </is>
      </c>
      <c r="C18" s="28" t="inlineStr">
        <is>
          <t>高匹配</t>
        </is>
      </c>
      <c r="D18" s="28" t="n">
        <v>1</v>
      </c>
      <c r="E18" s="29" t="n">
        <v>0.02763819095477387</v>
      </c>
      <c r="F18" s="29" t="n">
        <v>0.230769</v>
      </c>
      <c r="G18" s="29" t="n">
        <v>0.05982905982905983</v>
      </c>
      <c r="H18" s="29" t="n">
        <v>0.6068</v>
      </c>
      <c r="I18" s="29" t="n">
        <v>0.6068</v>
      </c>
      <c r="J18" s="29" t="n">
        <v>0</v>
      </c>
      <c r="K18" s="40" t="n">
        <v>71</v>
      </c>
      <c r="L18" s="41" t="n">
        <v>0</v>
      </c>
      <c r="M18" s="32" t="inlineStr">
        <is>
          <t>【定位】样本1篇｜混合型为主 1/1 篇·基本盘轨（推荐占比 42.7%）｜沉淀偏弱（只有同层的 0%）
【诊断】完读率 23.1%（同层 39.6%）、分享率 6.0%（同层 7.7%）、涨粉转化率 0.0%（同层 0.5%）
【动作】留不住人——文末补关注理由，并把该选题做成 2~3 篇系列</t>
        </is>
      </c>
    </row>
    <row r="19" ht="104" customHeight="1">
      <c r="A19" s="28" t="inlineStr">
        <is>
          <t>生活感悟</t>
        </is>
      </c>
      <c r="B19" s="28" t="inlineStr">
        <is>
          <t>情绪共鸣</t>
        </is>
      </c>
      <c r="C19" s="28" t="inlineStr">
        <is>
          <t>中匹配</t>
        </is>
      </c>
      <c r="D19" s="28" t="n">
        <v>1</v>
      </c>
      <c r="E19" s="29" t="n">
        <v>0.009685230024213076</v>
      </c>
      <c r="F19" s="29" t="n">
        <v>0.040752</v>
      </c>
      <c r="G19" s="29" t="n">
        <v>0.03134796238244514</v>
      </c>
      <c r="H19" s="29" t="n">
        <v>0.6238</v>
      </c>
      <c r="I19" s="29" t="n">
        <v>0.1661</v>
      </c>
      <c r="J19" s="29" t="n">
        <v>0.003134796238244514</v>
      </c>
      <c r="K19" s="40" t="n">
        <v>53</v>
      </c>
      <c r="L19" s="41" t="n">
        <v>0.2</v>
      </c>
      <c r="M19" s="32" t="inlineStr">
        <is>
          <t>【定位】样本1篇｜算法型为主 1/1 篇·增长轨（推荐占比 92.8%）｜内容承接偏弱（只有同层的 20%）
【诊断】完读率 4.1%（同层 20.7%）、分享率 3.1%（同层 3.1%）、涨粉转化率 0.3%（同层 0.5%）
【动作】算法流量全靠开头承接——把前 3 行改成场景或冲突切入，别先讲道理</t>
        </is>
      </c>
    </row>
    <row r="20" ht="104" customHeight="1">
      <c r="A20" s="28" t="inlineStr">
        <is>
          <t>生活感悟</t>
        </is>
      </c>
      <c r="B20" s="28" t="inlineStr">
        <is>
          <t>情绪共鸣</t>
        </is>
      </c>
      <c r="C20" s="28" t="inlineStr">
        <is>
          <t>（未填写）</t>
        </is>
      </c>
      <c r="D20" s="28" t="n">
        <v>1</v>
      </c>
      <c r="E20" s="29" t="n"/>
      <c r="F20" s="29" t="n">
        <v>0.428571</v>
      </c>
      <c r="G20" s="29" t="n">
        <v>0.2857142857142857</v>
      </c>
      <c r="H20" s="29" t="n"/>
      <c r="I20" s="29" t="n"/>
      <c r="J20" s="29" t="n">
        <v>0</v>
      </c>
      <c r="K20" s="40" t="n">
        <v>0</v>
      </c>
      <c r="L20" s="41" t="n">
        <v>0</v>
      </c>
      <c r="M20" s="32" t="inlineStr">
        <is>
          <t>【定位】样本1篇｜私域型为主 1/1 篇·基本盘轨（推荐占比 14.3%）｜沉淀偏弱（只有同层的 0%）
【诊断】完读率 42.9%（同层 48.9%）、分享率 28.6%（同层 13.6%）、涨粉转化率 0.0%（同层 1.1%）
【动作】后台尚未生成用户画像（阅读量太小）——先攒阅读量，再判人群匹配</t>
        </is>
      </c>
    </row>
    <row r="21" ht="104" customHeight="1">
      <c r="A21" s="28" t="inlineStr">
        <is>
          <t>育儿育己</t>
        </is>
      </c>
      <c r="B21" s="28" t="inlineStr">
        <is>
          <t>实用方法</t>
        </is>
      </c>
      <c r="C21" s="28" t="inlineStr">
        <is>
          <t>低匹配</t>
        </is>
      </c>
      <c r="D21" s="28" t="n">
        <v>1</v>
      </c>
      <c r="E21" s="29" t="n">
        <v>0.06217616580310881</v>
      </c>
      <c r="F21" s="29" t="n">
        <v>0.621622</v>
      </c>
      <c r="G21" s="29" t="n">
        <v>0.1764705882352941</v>
      </c>
      <c r="H21" s="29" t="n">
        <v>0.676471</v>
      </c>
      <c r="I21" s="29" t="n">
        <v>0.705882</v>
      </c>
      <c r="J21" s="29" t="n">
        <v>0</v>
      </c>
      <c r="K21" s="40" t="n">
        <v>24</v>
      </c>
      <c r="L21" s="41" t="n">
        <v>0</v>
      </c>
      <c r="M21" s="32" t="inlineStr">
        <is>
          <t>【定位】样本1篇｜私域型为主 1/1 篇·基本盘轨（推荐占比 17.6%）｜沉淀偏弱（只有同层的 0%）
【诊断】完读率 62.2%（同层 48.9%）、分享率 17.6%（同层 13.6%）、涨粉转化率 0.0%（同层 1.1%）
【动作】留不住人——文末补关注理由，并把该选题做成 2~3 篇系列</t>
        </is>
      </c>
    </row>
    <row r="22" ht="104" customHeight="1">
      <c r="A22" s="28" t="inlineStr">
        <is>
          <t>育儿育己</t>
        </is>
      </c>
      <c r="B22" s="28" t="inlineStr">
        <is>
          <t>情绪共鸣</t>
        </is>
      </c>
      <c r="C22" s="28" t="inlineStr">
        <is>
          <t>中匹配</t>
        </is>
      </c>
      <c r="D22" s="28" t="n">
        <v>1</v>
      </c>
      <c r="E22" s="29" t="n">
        <v>0.1258503401360544</v>
      </c>
      <c r="F22" s="29" t="n">
        <v>0.176961</v>
      </c>
      <c r="G22" s="29" t="n">
        <v>0.004560058037102291</v>
      </c>
      <c r="H22" s="29" t="n">
        <v>0.6834</v>
      </c>
      <c r="I22" s="29" t="n">
        <v>0.4074</v>
      </c>
      <c r="J22" s="29" t="n">
        <v>0.001943206549901544</v>
      </c>
      <c r="K22" s="40" t="n">
        <v>15724</v>
      </c>
      <c r="L22" s="41" t="n">
        <v>30.6</v>
      </c>
      <c r="M22" s="32" t="inlineStr">
        <is>
          <t>【定位】样本1篇｜算法型为主 1/1 篇·增长轨（推荐占比 98.8%）｜传播偏弱（只有同层的 15%）
【诊断】完读率 17.7%（同层 20.7%）、分享率 0.5%（同层 3.1%）、涨粉转化率 0.2%（同层 0.5%）
【动作】冷流量读完就走——结尾放一句可转发的主张，把算法来的读者变成分享者</t>
        </is>
      </c>
    </row>
    <row r="23" ht="104" customHeight="1">
      <c r="A23" s="28" t="inlineStr">
        <is>
          <t>育儿育己</t>
        </is>
      </c>
      <c r="B23" s="28" t="inlineStr">
        <is>
          <t>认知启发</t>
        </is>
      </c>
      <c r="C23" s="28" t="inlineStr">
        <is>
          <t>低匹配</t>
        </is>
      </c>
      <c r="D23" s="28" t="n">
        <v>1</v>
      </c>
      <c r="E23" s="29" t="n">
        <v>0.02415458937198068</v>
      </c>
      <c r="F23" s="29" t="n">
        <v>0.047619</v>
      </c>
      <c r="G23" s="29" t="n">
        <v>0.02380952380952381</v>
      </c>
      <c r="H23" s="29" t="n">
        <v>0.5265</v>
      </c>
      <c r="I23" s="29" t="n">
        <v>0.164</v>
      </c>
      <c r="J23" s="29" t="n">
        <v>0</v>
      </c>
      <c r="K23" s="40" t="n">
        <v>62</v>
      </c>
      <c r="L23" s="41" t="n">
        <v>0</v>
      </c>
      <c r="M23" s="32" t="inlineStr">
        <is>
          <t>【定位】样本1篇｜算法型为主 1/1 篇·增长轨（推荐占比 86.5%）｜沉淀偏弱（只有同层的 0%）
【诊断】完读率 4.8%（同层 20.7%）、分享率 2.4%（同层 3.1%）、涨粉转化率 0.0%（同层 0.5%）
【动作】选题偏窄或引导弱——换更普适的钩子，文末补关注理由</t>
        </is>
      </c>
    </row>
    <row r="24" ht="104" customHeight="1">
      <c r="A24" s="28" t="inlineStr">
        <is>
          <t>追剧观影</t>
        </is>
      </c>
      <c r="B24" s="28" t="inlineStr">
        <is>
          <t>审美滋养</t>
        </is>
      </c>
      <c r="C24" s="28" t="inlineStr">
        <is>
          <t>低匹配</t>
        </is>
      </c>
      <c r="D24" s="28" t="n">
        <v>1</v>
      </c>
      <c r="E24" s="29" t="n">
        <v>0.05181347150259067</v>
      </c>
      <c r="F24" s="29" t="n">
        <v>0.414243</v>
      </c>
      <c r="G24" s="29" t="n">
        <v>0.02964426877470356</v>
      </c>
      <c r="H24" s="29" t="n">
        <v>0.3063</v>
      </c>
      <c r="I24" s="29" t="n">
        <v>0.1902</v>
      </c>
      <c r="J24" s="29" t="n">
        <v>0.004940711462450593</v>
      </c>
      <c r="K24" s="40" t="n">
        <v>192</v>
      </c>
      <c r="L24" s="41" t="n">
        <v>1</v>
      </c>
      <c r="M24" s="32" t="inlineStr">
        <is>
          <t>【定位】样本1篇｜算法型为主 1/1 篇·增长轨（推荐占比 94.1%）｜各维度不低于同层
【诊断】完读率 41.4%（同层 20.7%）、分享率 3.0%（同层 3.1%）、涨粉转化率 0.5%（同层 0.5%）
【动作】算法已经接住——保持选题方向，把完读率与关注转化当下一阶段指标</t>
        </is>
      </c>
    </row>
    <row r="25" ht="104" customHeight="1">
      <c r="A25" s="28" t="inlineStr">
        <is>
          <t>追剧观影</t>
        </is>
      </c>
      <c r="B25" s="28" t="inlineStr">
        <is>
          <t>审美滋养</t>
        </is>
      </c>
      <c r="C25" s="28" t="inlineStr">
        <is>
          <t>高匹配</t>
        </is>
      </c>
      <c r="D25" s="28" t="n">
        <v>1</v>
      </c>
      <c r="E25" s="29" t="n">
        <v>0.02617801047120419</v>
      </c>
      <c r="F25" s="29" t="n">
        <v>0.38488</v>
      </c>
      <c r="G25" s="29" t="n">
        <v>0.1147540983606557</v>
      </c>
      <c r="H25" s="29" t="n">
        <v>0.348361</v>
      </c>
      <c r="I25" s="29" t="n">
        <v>0.303279</v>
      </c>
      <c r="J25" s="29" t="n">
        <v>0.01229508196721311</v>
      </c>
      <c r="K25" s="40" t="n">
        <v>74</v>
      </c>
      <c r="L25" s="41" t="n">
        <v>0.9</v>
      </c>
      <c r="M25" s="32" t="inlineStr">
        <is>
          <t>【定位】样本1篇｜混合型为主 1/1 篇·基本盘轨（推荐占比 64.8%）｜各维度不低于同层
【诊断】完读率 38.5%（同层 39.6%）、分享率 11.5%（同层 7.7%）、涨粉转化率 1.2%（同层 0.5%）
【动作】私域基本盘稳——保持节奏，试探能不能被算法接住（改标题、换首发时段）</t>
        </is>
      </c>
    </row>
    <row r="26" ht="104" customHeight="1">
      <c r="A26" s="30" t="n"/>
      <c r="B26" s="30" t="n"/>
      <c r="C26" s="30" t="n"/>
      <c r="D26" s="30" t="n"/>
      <c r="E26" s="39" t="n"/>
      <c r="F26" s="39" t="n"/>
      <c r="G26" s="39" t="n"/>
      <c r="H26" s="39" t="n"/>
      <c r="I26" s="39" t="n"/>
      <c r="J26" s="39" t="n"/>
      <c r="K26" s="30" t="n"/>
      <c r="L26" s="30" t="n"/>
      <c r="M26" s="32" t="n"/>
    </row>
    <row r="27" ht="104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2" t="n"/>
    </row>
    <row r="28">
      <c r="A28" s="10" t="inlineStr">
        <is>
          <t>【使用说明】</t>
        </is>
      </c>
    </row>
    <row r="29" ht="20" customHeight="1">
      <c r="A29" s="11" t="inlineStr">
        <is>
          <t>方法一（推荐）：选中Sheet1所有数据 → 插入 → 数据透视表 → 行标签放"内容方向"和"核心价值类型"，值字段放打开率/完读率/分享率等的平均值</t>
        </is>
      </c>
    </row>
    <row r="30" ht="20" customHeight="1">
      <c r="A30" s="11" t="inlineStr">
        <is>
          <t>方法二：手动按上述模板汇总，每写5-10篇文章更新一次</t>
        </is>
      </c>
    </row>
    <row r="31" ht="20" customHeight="1">
      <c r="A31" s="11" t="inlineStr">
        <is>
          <t>结论 v2：先看流量结构（算法/混合/私域），所有比较都在**同层内**进行——推荐流量是冷流量，完读率与分享率天然低于私域，跨层比会误判；定位给轨道（增长轨/基本盘轨）与最弱维度，动作按「轨道×短板」给</t>
        </is>
      </c>
    </row>
  </sheetData>
  <mergeCells count="6">
    <mergeCell ref="A1:M1"/>
    <mergeCell ref="A31:M31"/>
    <mergeCell ref="A30:M30"/>
    <mergeCell ref="A29:M29"/>
    <mergeCell ref="A2:M2"/>
    <mergeCell ref="A28:M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3" customWidth="1" min="4" max="4"/>
    <col width="10" customWidth="1" min="5" max="5"/>
    <col width="10" customWidth="1" min="6" max="6"/>
    <col width="13" customWidth="1" min="7" max="7"/>
    <col width="12" customWidth="1" min="8" max="8"/>
    <col width="14" customWidth="1" min="9" max="9"/>
    <col width="12" customWidth="1" min="10" max="10"/>
    <col width="62" customWidth="1" min="11" max="11"/>
  </cols>
  <sheetData>
    <row r="1" ht="35" customHeight="1">
      <c r="A1" s="1" t="inlineStr">
        <is>
          <t>流量结构 × 数据表现（分层基准）</t>
        </is>
      </c>
    </row>
    <row r="2" ht="30" customHeight="1">
      <c r="A2" s="2" t="inlineStr">
        <is>
          <t>按推荐占比分层：算法型 ≥70% / 混合型 30~70% / 私域型 ≤30%。同层才有可比性——算法流量是冷流量，完读率、分享率天然低于私域，所以这里取层内中位数，只用来判断「比同类文章好还是差」</t>
        </is>
      </c>
    </row>
    <row r="4" ht="30" customHeight="1">
      <c r="A4" s="3" t="inlineStr">
        <is>
          <t>流量结构</t>
        </is>
      </c>
      <c r="B4" s="3" t="inlineStr">
        <is>
          <t>文章数</t>
        </is>
      </c>
      <c r="C4" s="3" t="inlineStr">
        <is>
          <t>中位阅读人数</t>
        </is>
      </c>
      <c r="D4" s="4" t="inlineStr">
        <is>
          <t>中位订阅打开率</t>
        </is>
      </c>
      <c r="E4" s="5" t="inlineStr">
        <is>
          <t>中位完读率</t>
        </is>
      </c>
      <c r="F4" s="6" t="inlineStr">
        <is>
          <t>中位分享率</t>
        </is>
      </c>
      <c r="G4" s="6" t="inlineStr">
        <is>
          <t>中位分享扩散系数</t>
        </is>
      </c>
      <c r="H4" s="7" t="inlineStr">
        <is>
          <t>中位女性占比</t>
        </is>
      </c>
      <c r="I4" s="7" t="inlineStr">
        <is>
          <t>中位25-45岁占比</t>
        </is>
      </c>
      <c r="J4" s="7" t="inlineStr">
        <is>
          <t>中位涨粉转化率</t>
        </is>
      </c>
      <c r="K4" s="7" t="inlineStr">
        <is>
          <t>结论与建议</t>
        </is>
      </c>
    </row>
    <row r="5" ht="76" customHeight="1">
      <c r="A5" s="8" t="inlineStr">
        <is>
          <t>算法型（推荐≥70%）</t>
        </is>
      </c>
      <c r="B5" s="8" t="n">
        <v>13</v>
      </c>
      <c r="C5" s="8" t="n">
        <v>378</v>
      </c>
      <c r="D5" s="27" t="n">
        <v>0.02415458937198068</v>
      </c>
      <c r="E5" s="27" t="n">
        <v>0.207479</v>
      </c>
      <c r="F5" s="27" t="n">
        <v>0.03134796238244514</v>
      </c>
      <c r="G5" s="37" t="n">
        <v>2</v>
      </c>
      <c r="H5" s="27" t="n">
        <v>0.6238</v>
      </c>
      <c r="I5" s="27" t="n">
        <v>0.2521</v>
      </c>
      <c r="J5" s="38" t="n">
        <v>0.004980437139017449</v>
      </c>
      <c r="K5" s="40" t="inlineStr">
        <is>
          <t>【定位】算法型·流量入口｜13 篇，占全表阅读量 96%
【诊断】中位阅读 378、完读 20.7%、分享 3.1%、扩散 2.00；涨粉 0.5%（全表均值 0.8%，更低）
【动作】把冷流量的承接做厚：前 3 行场景化、文末给关注理由；选题继续找面足够宽的钩子（爆款的共性是选题普适）</t>
        </is>
      </c>
    </row>
    <row r="6" ht="76" customHeight="1">
      <c r="A6" s="8" t="inlineStr">
        <is>
          <t>混合型（推荐30~70%）</t>
        </is>
      </c>
      <c r="B6" s="8" t="n">
        <v>11</v>
      </c>
      <c r="C6" s="8" t="n">
        <v>119</v>
      </c>
      <c r="D6" s="27" t="n">
        <v>0.02493765586034913</v>
      </c>
      <c r="E6" s="27" t="n">
        <v>0.396341</v>
      </c>
      <c r="F6" s="27" t="n">
        <v>0.07692307692307693</v>
      </c>
      <c r="G6" s="37" t="n">
        <v>4.285714285714286</v>
      </c>
      <c r="H6" s="27" t="n">
        <v>0.6512</v>
      </c>
      <c r="I6" s="27" t="n">
        <v>0.5577</v>
      </c>
      <c r="J6" s="38" t="n">
        <v>0.00548295343671311</v>
      </c>
      <c r="K6" s="40" t="inlineStr">
        <is>
          <t>【定位】混合型·过渡层｜11 篇，占全表阅读量 2%
【诊断】中位阅读 119、完读 39.6%、分享 7.7%、扩散 4.29；涨粉 0.5%（全表均值 0.8%，更低）
【动作】推荐与私域各半——先把私域的打开率与扩散做起来（标题、可转发主张），再放大算法种子</t>
        </is>
      </c>
    </row>
    <row r="7" ht="76" customHeight="1">
      <c r="A7" s="8" t="inlineStr">
        <is>
          <t>私域型（推荐≤30%）</t>
        </is>
      </c>
      <c r="B7" s="8" t="n">
        <v>17</v>
      </c>
      <c r="C7" s="8" t="n">
        <v>45</v>
      </c>
      <c r="D7" s="27" t="n">
        <v>0.03677682757199525</v>
      </c>
      <c r="E7" s="27" t="n">
        <v>0.489362</v>
      </c>
      <c r="F7" s="27" t="n">
        <v>0.1363636363636364</v>
      </c>
      <c r="G7" s="37" t="n">
        <v>3.8</v>
      </c>
      <c r="H7" s="27" t="n">
        <v>0.73575</v>
      </c>
      <c r="I7" s="27" t="n">
        <v>0.6145</v>
      </c>
      <c r="J7" s="38" t="n">
        <v>0.01113059242048989</v>
      </c>
      <c r="K7" s="40" t="inlineStr">
        <is>
          <t>【定位】私域型·信任底盘｜17 篇，占全表阅读量 2%
【诊断】中位阅读 45、完读 48.9%、分享 13.6%、扩散 3.80；涨粉 1.1%（全表均值 0.8%，更高）
【动作】私域是信任底盘：打开率与扩散系数是核心指标；这类阅读小但分享率高，别用阅读量否定它</t>
        </is>
      </c>
    </row>
    <row r="9" ht="34" customHeight="1">
      <c r="A9" s="11" t="inlineStr">
        <is>
          <t>说明：中位数代表「典型文章」，比均值抗离群值（全表阅读均值 1436、中位仅 116）；涨粉转化率用层内均值（中位常为 0）。分层是为了解决「推荐流量越大，完读率与分享率必然越低」导致的误判——旧版用一条绝对线比较两类文章，把阅读 38596 的算法爆文判成了「减少或优化」</t>
        </is>
      </c>
    </row>
  </sheetData>
  <mergeCells count="2">
    <mergeCell ref="A2:K2"/>
    <mergeCell ref="A9:K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6" customWidth="1" min="4" max="4"/>
    <col width="15" customWidth="1" min="5" max="5"/>
    <col width="16" customWidth="1" min="6" max="6"/>
    <col width="16" customWidth="1" min="7" max="7"/>
    <col width="11" customWidth="1" min="8" max="8"/>
    <col width="10" customWidth="1" min="9" max="9"/>
  </cols>
  <sheetData>
    <row r="1" ht="35" customHeight="1">
      <c r="A1" s="1" t="inlineStr">
        <is>
          <t>月度趋势（按发布月，时间正序）</t>
        </is>
      </c>
    </row>
    <row r="2" ht="30" customHeight="1">
      <c r="A2" s="2" t="inlineStr">
        <is>
          <t>三个目标看是否在靠近：中位订阅打开率（≥5%）、中位46岁以上占比（反向护栏 ≤40%）、精准涨粉＝涨粉×25-45岁占比。用中位数而非均值——单篇爆文会把均值拉飞，看不出走向</t>
        </is>
      </c>
    </row>
    <row r="4" ht="30" customHeight="1">
      <c r="A4" s="3" t="inlineStr">
        <is>
          <t>月份</t>
        </is>
      </c>
      <c r="B4" s="3" t="inlineStr">
        <is>
          <t>篇数</t>
        </is>
      </c>
      <c r="C4" s="3" t="inlineStr">
        <is>
          <t>阅读合计</t>
        </is>
      </c>
      <c r="D4" s="3" t="inlineStr">
        <is>
          <t>目标人群阅读合计</t>
        </is>
      </c>
      <c r="E4" s="3" t="inlineStr">
        <is>
          <t>中位订阅打开率</t>
        </is>
      </c>
      <c r="F4" s="7" t="inlineStr">
        <is>
          <t>中位25-45岁占比</t>
        </is>
      </c>
      <c r="G4" s="7" t="inlineStr">
        <is>
          <t>中位46岁以上占比</t>
        </is>
      </c>
      <c r="H4" s="3" t="inlineStr">
        <is>
          <t>涨粉合计</t>
        </is>
      </c>
      <c r="I4" s="3" t="inlineStr">
        <is>
          <t>精准涨粉</t>
        </is>
      </c>
    </row>
    <row r="5" ht="24" customHeight="1">
      <c r="A5" s="8" t="inlineStr">
        <is>
          <t>2024-08</t>
        </is>
      </c>
      <c r="B5" s="8" t="n">
        <v>3</v>
      </c>
      <c r="C5" s="43" t="n">
        <v>152</v>
      </c>
      <c r="D5" s="43" t="n">
        <v>101</v>
      </c>
      <c r="E5" s="27" t="n">
        <v>0.05945945945945946</v>
      </c>
      <c r="F5" s="27" t="n">
        <v>0.6</v>
      </c>
      <c r="G5" s="27" t="n">
        <v>0.311111</v>
      </c>
      <c r="H5" s="8" t="n">
        <v>3</v>
      </c>
      <c r="I5" s="44" t="n">
        <v>1.9</v>
      </c>
    </row>
    <row r="6" ht="24" customHeight="1">
      <c r="A6" s="8" t="inlineStr">
        <is>
          <t>2025-10</t>
        </is>
      </c>
      <c r="B6" s="8" t="n">
        <v>6</v>
      </c>
      <c r="C6" s="43" t="n">
        <v>600</v>
      </c>
      <c r="D6" s="43" t="n">
        <v>302</v>
      </c>
      <c r="E6" s="27" t="n">
        <v>0.0547722934278702</v>
      </c>
      <c r="F6" s="27" t="n">
        <v>0.634795</v>
      </c>
      <c r="G6" s="27" t="n">
        <v>0.323552</v>
      </c>
      <c r="H6" s="8" t="n">
        <v>7</v>
      </c>
      <c r="I6" s="44" t="n">
        <v>3.7</v>
      </c>
    </row>
    <row r="7" ht="24" customHeight="1">
      <c r="A7" s="8" t="inlineStr">
        <is>
          <t>2025-11</t>
        </is>
      </c>
      <c r="B7" s="8" t="n">
        <v>12</v>
      </c>
      <c r="C7" s="43" t="n">
        <v>12203</v>
      </c>
      <c r="D7" s="43" t="n">
        <v>1637</v>
      </c>
      <c r="E7" s="27" t="n">
        <v>0.02948420747609388</v>
      </c>
      <c r="F7" s="27" t="n">
        <v>0.5164</v>
      </c>
      <c r="G7" s="27" t="n">
        <v>0.4519</v>
      </c>
      <c r="H7" s="8" t="n">
        <v>70</v>
      </c>
      <c r="I7" s="44" t="n">
        <v>8</v>
      </c>
    </row>
    <row r="8" ht="24" customHeight="1">
      <c r="A8" s="8" t="inlineStr">
        <is>
          <t>2025-12</t>
        </is>
      </c>
      <c r="B8" s="8" t="n">
        <v>1</v>
      </c>
      <c r="C8" s="43" t="n">
        <v>7</v>
      </c>
      <c r="D8" s="43" t="n">
        <v>0</v>
      </c>
      <c r="E8" s="27" t="n"/>
      <c r="F8" s="27" t="n"/>
      <c r="G8" s="27" t="n"/>
      <c r="H8" s="8" t="n">
        <v>0</v>
      </c>
      <c r="I8" s="44" t="n">
        <v>0</v>
      </c>
    </row>
    <row r="9" ht="24" customHeight="1">
      <c r="A9" s="8" t="inlineStr">
        <is>
          <t>2026-01</t>
        </is>
      </c>
      <c r="B9" s="8" t="n">
        <v>1</v>
      </c>
      <c r="C9" s="43" t="n">
        <v>38596</v>
      </c>
      <c r="D9" s="43" t="n">
        <v>15724</v>
      </c>
      <c r="E9" s="27" t="n">
        <v>0.1258503401360544</v>
      </c>
      <c r="F9" s="27" t="n">
        <v>0.4074</v>
      </c>
      <c r="G9" s="27" t="n">
        <v>0.5806</v>
      </c>
      <c r="H9" s="8" t="n">
        <v>75</v>
      </c>
      <c r="I9" s="44" t="n">
        <v>30.6</v>
      </c>
    </row>
    <row r="10" ht="24" customHeight="1">
      <c r="A10" s="8" t="inlineStr">
        <is>
          <t>2026-02</t>
        </is>
      </c>
      <c r="B10" s="8" t="n">
        <v>2</v>
      </c>
      <c r="C10" s="43" t="n">
        <v>319</v>
      </c>
      <c r="D10" s="43" t="n">
        <v>211</v>
      </c>
      <c r="E10" s="27" t="n">
        <v>0.03135435272190728</v>
      </c>
      <c r="F10" s="27" t="n">
        <v>0.6274999999999999</v>
      </c>
      <c r="G10" s="27" t="n">
        <v>0.2878</v>
      </c>
      <c r="H10" s="8" t="n">
        <v>5</v>
      </c>
      <c r="I10" s="44" t="n">
        <v>3.3</v>
      </c>
    </row>
    <row r="11" ht="24" customHeight="1">
      <c r="A11" s="8" t="inlineStr">
        <is>
          <t>2026-03</t>
        </is>
      </c>
      <c r="B11" s="8" t="n">
        <v>2</v>
      </c>
      <c r="C11" s="43" t="n">
        <v>293</v>
      </c>
      <c r="D11" s="43" t="n">
        <v>180</v>
      </c>
      <c r="E11" s="27" t="n">
        <v>0.02267290956282762</v>
      </c>
      <c r="F11" s="27" t="n">
        <v>0.60505</v>
      </c>
      <c r="G11" s="27" t="n">
        <v>0.32495</v>
      </c>
      <c r="H11" s="8" t="n">
        <v>1</v>
      </c>
      <c r="I11" s="44" t="n">
        <v>0.7</v>
      </c>
    </row>
    <row r="12" ht="24" customHeight="1">
      <c r="A12" s="8" t="inlineStr">
        <is>
          <t>2026-05</t>
        </is>
      </c>
      <c r="B12" s="8" t="n">
        <v>1</v>
      </c>
      <c r="C12" s="43" t="n">
        <v>273</v>
      </c>
      <c r="D12" s="43" t="n">
        <v>159</v>
      </c>
      <c r="E12" s="27" t="n">
        <v>0.0175</v>
      </c>
      <c r="F12" s="27" t="n">
        <v>0.5824</v>
      </c>
      <c r="G12" s="27" t="n">
        <v>0.37</v>
      </c>
      <c r="H12" s="8" t="n">
        <v>2</v>
      </c>
      <c r="I12" s="44" t="n">
        <v>1.2</v>
      </c>
    </row>
    <row r="13" ht="24" customHeight="1">
      <c r="A13" s="8" t="inlineStr">
        <is>
          <t>2026-07</t>
        </is>
      </c>
      <c r="B13" s="8" t="n">
        <v>1</v>
      </c>
      <c r="C13" s="43" t="n">
        <v>117</v>
      </c>
      <c r="D13" s="43" t="n">
        <v>71</v>
      </c>
      <c r="E13" s="27" t="n">
        <v>0.02763819095477387</v>
      </c>
      <c r="F13" s="27" t="n">
        <v>0.6068</v>
      </c>
      <c r="G13" s="27" t="n">
        <v>0.3675</v>
      </c>
      <c r="H13" s="8" t="n">
        <v>0</v>
      </c>
      <c r="I13" s="44" t="n">
        <v>0</v>
      </c>
    </row>
    <row r="14" ht="24" customHeight="1">
      <c r="A14" s="8" t="inlineStr">
        <is>
          <t>2026-08</t>
        </is>
      </c>
      <c r="B14" s="8" t="n">
        <v>7</v>
      </c>
      <c r="C14" s="43" t="n">
        <v>1279</v>
      </c>
      <c r="D14" s="43" t="n">
        <v>509</v>
      </c>
      <c r="E14" s="27" t="n">
        <v>0.02272727272727273</v>
      </c>
      <c r="F14" s="27" t="n">
        <v>0.5877</v>
      </c>
      <c r="G14" s="27" t="n">
        <v>0.3664</v>
      </c>
      <c r="H14" s="8" t="n">
        <v>5</v>
      </c>
      <c r="I14" s="44" t="n">
        <v>2.6</v>
      </c>
    </row>
    <row r="15" ht="24" customHeight="1">
      <c r="A15" s="8" t="inlineStr">
        <is>
          <t>2026-09</t>
        </is>
      </c>
      <c r="B15" s="8" t="n">
        <v>5</v>
      </c>
      <c r="C15" s="43" t="n">
        <v>895</v>
      </c>
      <c r="D15" s="43" t="n">
        <v>203</v>
      </c>
      <c r="E15" s="27" t="n">
        <v>0.009638554216867471</v>
      </c>
      <c r="F15" s="27" t="n">
        <v>0.3224</v>
      </c>
      <c r="G15" s="27" t="n">
        <v>0.6695</v>
      </c>
      <c r="H15" s="8" t="n">
        <v>1</v>
      </c>
      <c r="I15" s="44" t="n">
        <v>0.2</v>
      </c>
    </row>
    <row r="16"/>
    <row r="17" ht="34" customHeight="1">
      <c r="A17" s="11" t="inlineStr">
        <is>
          <t>说明：月份按发布日期归月；篇数=1 的月份中位数即该篇自身，别过度解读。若某月只有算法型文章，46岁以上占比会明显偏高——那是流量结构造成的，不是账号在变老（详见「流量结构透视」）</t>
        </is>
      </c>
    </row>
    <row r="18"/>
    <row r="19"/>
    <row r="20"/>
    <row r="21"/>
    <row r="22"/>
    <row r="23"/>
  </sheetData>
  <mergeCells count="2">
    <mergeCell ref="A17:I17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workbookViewId="0">
      <pane ySplit="4" topLeftCell="A5" activePane="bottomLeft" state="frozen"/>
      <selection activeCell="A1" sqref="A1"/>
      <selection pane="bottomLeft" activeCell="H16" sqref="H16"/>
    </sheetView>
  </sheetViews>
  <sheetFormatPr baseColWidth="8" defaultColWidth="9" defaultRowHeight="16.8"/>
  <cols>
    <col width="48" customWidth="1" min="1" max="1"/>
    <col width="12" customWidth="1" min="2" max="2"/>
    <col width="18" customWidth="1" min="3" max="3"/>
    <col width="13" customWidth="1" min="4" max="4"/>
    <col width="8" customWidth="1" min="5" max="5"/>
    <col width="9" customWidth="1" min="6" max="6"/>
    <col width="30" customWidth="1" min="7" max="7"/>
    <col width="28" customWidth="1" min="8" max="8"/>
  </cols>
  <sheetData>
    <row r="1" ht="35" customHeight="1">
      <c r="A1" s="1" t="inlineStr">
        <is>
          <t>婚育成长主题选题库</t>
        </is>
      </c>
    </row>
    <row r="2" ht="22" customHeight="1">
      <c r="A2" s="2" t="inlineStr">
        <is>
          <t>把数据分析和选题策划打通，形成"写→看数据→优化选题→再写"的闭环</t>
        </is>
      </c>
    </row>
    <row r="4" ht="30" customHeight="1">
      <c r="A4" s="3" t="inlineStr">
        <is>
          <t>选题</t>
        </is>
      </c>
      <c r="B4" s="3" t="inlineStr">
        <is>
          <t>内容方向</t>
        </is>
      </c>
      <c r="C4" s="3" t="inlineStr">
        <is>
          <t>核心价值类型</t>
        </is>
      </c>
      <c r="D4" s="3" t="inlineStr">
        <is>
          <t>人群匹配度预判</t>
        </is>
      </c>
      <c r="E4" s="4" t="inlineStr">
        <is>
          <t>优先级</t>
        </is>
      </c>
      <c r="F4" s="5" t="inlineStr">
        <is>
          <t>是否已写</t>
        </is>
      </c>
      <c r="G4" s="6" t="inlineStr">
        <is>
          <t>对应文章标题</t>
        </is>
      </c>
      <c r="H4" s="7" t="inlineStr">
        <is>
          <t>数据表现</t>
        </is>
      </c>
    </row>
    <row r="5" ht="32" customHeight="1">
      <c r="A5" s="8" t="inlineStr">
        <is>
          <t>女儿问我"外公是谁"</t>
        </is>
      </c>
      <c r="B5" s="8" t="inlineStr">
        <is>
          <t>育儿育己</t>
        </is>
      </c>
      <c r="C5" s="8" t="inlineStr">
        <is>
          <t>情绪共鸣</t>
        </is>
      </c>
      <c r="D5" s="8" t="inlineStr">
        <is>
          <t>高匹配</t>
        </is>
      </c>
      <c r="E5" s="8" t="inlineStr">
        <is>
          <t>高</t>
        </is>
      </c>
      <c r="F5" s="8" t="inlineStr">
        <is>
          <t>未写</t>
        </is>
      </c>
      <c r="G5" s="8" t="n"/>
      <c r="H5" s="8" t="n"/>
    </row>
    <row r="6" ht="32" customHeight="1">
      <c r="A6" s="8" t="inlineStr">
        <is>
          <t>我不回去过年，别人问我怎么回答</t>
        </is>
      </c>
      <c r="B6" s="8" t="inlineStr">
        <is>
          <t>生活感悟</t>
        </is>
      </c>
      <c r="C6" s="8" t="inlineStr">
        <is>
          <t>情绪共鸣</t>
        </is>
      </c>
      <c r="D6" s="8" t="inlineStr">
        <is>
          <t>高匹配</t>
        </is>
      </c>
      <c r="E6" s="8" t="inlineStr">
        <is>
          <t>高</t>
        </is>
      </c>
      <c r="F6" s="8" t="inlineStr">
        <is>
          <t>未写</t>
        </is>
      </c>
      <c r="G6" s="8" t="n"/>
      <c r="H6" s="8" t="n"/>
    </row>
    <row r="7" ht="32" customHeight="1">
      <c r="A7" s="8" t="inlineStr">
        <is>
          <t>有急事那天，他从我这里拿钱</t>
        </is>
      </c>
      <c r="B7" s="8" t="inlineStr">
        <is>
          <t>生活感悟</t>
        </is>
      </c>
      <c r="C7" s="8" t="inlineStr">
        <is>
          <t>认知启发</t>
        </is>
      </c>
      <c r="D7" s="8" t="inlineStr">
        <is>
          <t>高匹配</t>
        </is>
      </c>
      <c r="E7" s="8" t="inlineStr">
        <is>
          <t>高</t>
        </is>
      </c>
      <c r="F7" s="8" t="inlineStr">
        <is>
          <t>未写</t>
        </is>
      </c>
      <c r="G7" s="8" t="n"/>
      <c r="H7" s="8" t="n"/>
    </row>
    <row r="8" ht="32" customHeight="1">
      <c r="A8" s="8" t="inlineStr">
        <is>
          <t>我那篇爆文，读者只拿走了我写的一半</t>
        </is>
      </c>
      <c r="B8" s="8" t="inlineStr">
        <is>
          <t>生活感悟</t>
        </is>
      </c>
      <c r="C8" s="8" t="inlineStr">
        <is>
          <t>认知启发</t>
        </is>
      </c>
      <c r="D8" s="8" t="inlineStr">
        <is>
          <t>高匹配</t>
        </is>
      </c>
      <c r="E8" s="8" t="inlineStr">
        <is>
          <t>高</t>
        </is>
      </c>
      <c r="F8" s="8" t="inlineStr">
        <is>
          <t>未写</t>
        </is>
      </c>
      <c r="G8" s="8" t="n"/>
      <c r="H8" s="8" t="n"/>
    </row>
    <row r="9" ht="32" customHeight="1">
      <c r="A9" s="8" t="inlineStr">
        <is>
          <t>关店之后，我在二手平台卖了三个月花材</t>
        </is>
      </c>
      <c r="B9" s="8" t="inlineStr">
        <is>
          <t>生活感悟</t>
        </is>
      </c>
      <c r="C9" s="8" t="inlineStr">
        <is>
          <t>情绪共鸣</t>
        </is>
      </c>
      <c r="D9" s="8" t="inlineStr">
        <is>
          <t>高匹配</t>
        </is>
      </c>
      <c r="E9" s="8" t="inlineStr">
        <is>
          <t>高</t>
        </is>
      </c>
      <c r="F9" s="8" t="inlineStr">
        <is>
          <t>未写</t>
        </is>
      </c>
      <c r="G9" s="8" t="n"/>
      <c r="H9" s="8" t="n"/>
    </row>
    <row r="10" ht="32" customHeight="1">
      <c r="A10" s="8" t="inlineStr">
        <is>
          <t>女儿说"妈妈你别生气"的那一刻</t>
        </is>
      </c>
      <c r="B10" s="8" t="inlineStr">
        <is>
          <t>育儿育己</t>
        </is>
      </c>
      <c r="C10" s="8" t="inlineStr">
        <is>
          <t>情绪共鸣</t>
        </is>
      </c>
      <c r="D10" s="8" t="inlineStr">
        <is>
          <t>高匹配</t>
        </is>
      </c>
      <c r="E10" s="8" t="inlineStr">
        <is>
          <t>高</t>
        </is>
      </c>
      <c r="F10" s="8" t="inlineStr">
        <is>
          <t>未写</t>
        </is>
      </c>
      <c r="G10" s="8" t="n"/>
      <c r="H10" s="8" t="n"/>
    </row>
    <row r="11" ht="32" customHeight="1">
      <c r="A11" s="8" t="inlineStr">
        <is>
          <t>3岁女儿在幼儿园门口磨蹭半小时，我才发现每天替她做的决定太多了</t>
        </is>
      </c>
      <c r="B11" s="8" t="inlineStr">
        <is>
          <t>育儿育己</t>
        </is>
      </c>
      <c r="C11" s="8" t="inlineStr">
        <is>
          <t>认知启发</t>
        </is>
      </c>
      <c r="D11" s="8" t="inlineStr">
        <is>
          <t>高匹配</t>
        </is>
      </c>
      <c r="E11" s="8" t="inlineStr">
        <is>
          <t>高</t>
        </is>
      </c>
      <c r="F11" s="8" t="inlineStr">
        <is>
          <t>未写</t>
        </is>
      </c>
      <c r="G11" s="8" t="n"/>
      <c r="H11" s="8" t="n"/>
    </row>
    <row r="12" ht="32" customHeight="1">
      <c r="A12" s="8" t="inlineStr">
        <is>
          <t>我把"你怎么这么小气"咽了回去，换成一句话，女儿主动分了玩具</t>
        </is>
      </c>
      <c r="B12" s="8" t="inlineStr">
        <is>
          <t>育儿育己</t>
        </is>
      </c>
      <c r="C12" s="8" t="inlineStr">
        <is>
          <t>实用方法</t>
        </is>
      </c>
      <c r="D12" s="8" t="inlineStr">
        <is>
          <t>高匹配</t>
        </is>
      </c>
      <c r="E12" s="8" t="inlineStr">
        <is>
          <t>高</t>
        </is>
      </c>
      <c r="F12" s="8" t="inlineStr">
        <is>
          <t>未写</t>
        </is>
      </c>
      <c r="G12" s="8" t="n"/>
      <c r="H12" s="8" t="n"/>
    </row>
    <row r="13" ht="32" customHeight="1">
      <c r="A13" s="8" t="inlineStr">
        <is>
          <t>婆婆当着外人说"这孩子胆子小"，那次我没替女儿道歉</t>
        </is>
      </c>
      <c r="B13" s="8" t="inlineStr">
        <is>
          <t>育儿育己</t>
        </is>
      </c>
      <c r="C13" s="8" t="inlineStr">
        <is>
          <t>情绪共鸣</t>
        </is>
      </c>
      <c r="D13" s="8" t="inlineStr">
        <is>
          <t>高匹配</t>
        </is>
      </c>
      <c r="E13" s="8" t="inlineStr">
        <is>
          <t>高</t>
        </is>
      </c>
      <c r="F13" s="8" t="inlineStr">
        <is>
          <t>未写</t>
        </is>
      </c>
      <c r="G13" s="8" t="n"/>
      <c r="H13" s="8" t="n"/>
    </row>
    <row r="14" ht="32" customHeight="1">
      <c r="A14" s="8" t="inlineStr">
        <is>
          <t>女儿站在滑梯边那件事，一年后我看到了结果</t>
        </is>
      </c>
      <c r="B14" s="8" t="inlineStr">
        <is>
          <t>育儿育己</t>
        </is>
      </c>
      <c r="C14" s="8" t="inlineStr">
        <is>
          <t>情绪共鸣</t>
        </is>
      </c>
      <c r="D14" s="8" t="inlineStr">
        <is>
          <t>高匹配</t>
        </is>
      </c>
      <c r="E14" s="8" t="inlineStr">
        <is>
          <t>高</t>
        </is>
      </c>
      <c r="F14" s="8" t="inlineStr">
        <is>
          <t>未写</t>
        </is>
      </c>
      <c r="G14" s="8" t="n"/>
      <c r="H14" s="8" t="n"/>
    </row>
    <row r="15" ht="32" customHeight="1">
      <c r="A15" s="8" t="inlineStr">
        <is>
          <t>全职第三年，我最怕别人问"你在家干嘛"</t>
        </is>
      </c>
      <c r="B15" s="8" t="inlineStr">
        <is>
          <t>生活感悟</t>
        </is>
      </c>
      <c r="C15" s="8" t="inlineStr">
        <is>
          <t>情绪共鸣</t>
        </is>
      </c>
      <c r="D15" s="8" t="inlineStr">
        <is>
          <t>高匹配</t>
        </is>
      </c>
      <c r="E15" s="8" t="inlineStr">
        <is>
          <t>高</t>
        </is>
      </c>
      <c r="F15" s="8" t="inlineStr">
        <is>
          <t>未写</t>
        </is>
      </c>
      <c r="G15" s="8" t="n"/>
      <c r="H15" s="8" t="n"/>
    </row>
    <row r="16" ht="32" customHeight="1">
      <c r="A16" s="8" t="inlineStr">
        <is>
          <t>拒绝同事第7次"帮个忙"，我手心全是汗</t>
        </is>
      </c>
      <c r="B16" s="8" t="inlineStr">
        <is>
          <t>生活感悟</t>
        </is>
      </c>
      <c r="C16" s="8" t="inlineStr">
        <is>
          <t>情绪共鸣</t>
        </is>
      </c>
      <c r="D16" s="8" t="inlineStr">
        <is>
          <t>高匹配</t>
        </is>
      </c>
      <c r="E16" s="8" t="inlineStr">
        <is>
          <t>高</t>
        </is>
      </c>
      <c r="F16" s="8" t="inlineStr">
        <is>
          <t>未写</t>
        </is>
      </c>
      <c r="G16" s="8" t="n"/>
      <c r="H16" s="8" t="n"/>
    </row>
    <row r="17" ht="32" customHeight="1">
      <c r="A17" s="8" t="inlineStr">
        <is>
          <t>35岁生日，我删掉了手机里所有"应该"</t>
        </is>
      </c>
      <c r="B17" s="8" t="inlineStr">
        <is>
          <t>生活感悟</t>
        </is>
      </c>
      <c r="C17" s="8" t="inlineStr">
        <is>
          <t>情绪共鸣</t>
        </is>
      </c>
      <c r="D17" s="8" t="inlineStr">
        <is>
          <t>高匹配</t>
        </is>
      </c>
      <c r="E17" s="8" t="inlineStr">
        <is>
          <t>中</t>
        </is>
      </c>
      <c r="F17" s="8" t="inlineStr">
        <is>
          <t>未写</t>
        </is>
      </c>
      <c r="G17" s="8" t="n"/>
      <c r="H17" s="8" t="n"/>
    </row>
    <row r="18" ht="32" customHeight="1">
      <c r="A18" s="8" t="inlineStr">
        <is>
          <t>凌晨两点我跟老公说"我很累"，他只回了三个字</t>
        </is>
      </c>
      <c r="B18" s="8" t="inlineStr">
        <is>
          <t>生活感悟</t>
        </is>
      </c>
      <c r="C18" s="8" t="inlineStr">
        <is>
          <t>情绪共鸣</t>
        </is>
      </c>
      <c r="D18" s="8" t="inlineStr">
        <is>
          <t>高匹配</t>
        </is>
      </c>
      <c r="E18" s="8" t="inlineStr">
        <is>
          <t>中</t>
        </is>
      </c>
      <c r="F18" s="8" t="inlineStr">
        <is>
          <t>未写</t>
        </is>
      </c>
      <c r="G18" s="8" t="n"/>
      <c r="H18" s="8" t="n"/>
    </row>
    <row r="19" ht="32" customHeight="1">
      <c r="A19" s="8" t="inlineStr">
        <is>
          <t>读《毛选》学到"集中优势兵力"，我用它治好了每天的分心</t>
        </is>
      </c>
      <c r="B19" s="8" t="inlineStr">
        <is>
          <t>深度思考</t>
        </is>
      </c>
      <c r="C19" s="8" t="inlineStr">
        <is>
          <t>实用方法</t>
        </is>
      </c>
      <c r="D19" s="8" t="inlineStr">
        <is>
          <t>中匹配</t>
        </is>
      </c>
      <c r="E19" s="8" t="inlineStr">
        <is>
          <t>中</t>
        </is>
      </c>
      <c r="F19" s="8" t="inlineStr">
        <is>
          <t>未写</t>
        </is>
      </c>
      <c r="G19" s="8" t="n"/>
      <c r="H19" s="8" t="n"/>
    </row>
    <row r="20" ht="32" customHeight="1">
      <c r="A20" s="8" t="inlineStr">
        <is>
          <t>写了41篇才明白：让我涨粉的不是文笔，是这3件事</t>
        </is>
      </c>
      <c r="B20" s="8" t="inlineStr">
        <is>
          <t>生活感悟</t>
        </is>
      </c>
      <c r="C20" s="8" t="inlineStr">
        <is>
          <t>实用方法</t>
        </is>
      </c>
      <c r="D20" s="8" t="inlineStr">
        <is>
          <t>中匹配</t>
        </is>
      </c>
      <c r="E20" s="8" t="inlineStr">
        <is>
          <t>中</t>
        </is>
      </c>
      <c r="F20" s="8" t="inlineStr">
        <is>
          <t>未写</t>
        </is>
      </c>
      <c r="G20" s="8" t="n"/>
      <c r="H20" s="8" t="n"/>
    </row>
    <row r="21" ht="32" customHeight="1">
      <c r="A21" s="8" t="inlineStr">
        <is>
          <t>允许自己半年不开花</t>
        </is>
      </c>
      <c r="B21" s="8" t="inlineStr">
        <is>
          <t>植物美学</t>
        </is>
      </c>
      <c r="C21" s="8" t="inlineStr">
        <is>
          <t>审美滋养</t>
        </is>
      </c>
      <c r="D21" s="8" t="inlineStr">
        <is>
          <t>中匹配</t>
        </is>
      </c>
      <c r="E21" s="8" t="inlineStr">
        <is>
          <t>中</t>
        </is>
      </c>
      <c r="F21" s="8" t="inlineStr">
        <is>
          <t>未写</t>
        </is>
      </c>
      <c r="G21" s="8" t="n"/>
      <c r="H21" s="8" t="n"/>
    </row>
    <row r="22" ht="32" customHeight="1">
      <c r="A22" s="8" t="inlineStr">
        <is>
          <t>我打定主意不婚不育的那些年</t>
        </is>
      </c>
      <c r="B22" s="8" t="inlineStr">
        <is>
          <t>生活感悟</t>
        </is>
      </c>
      <c r="C22" s="8" t="inlineStr">
        <is>
          <t>情绪共鸣</t>
        </is>
      </c>
      <c r="D22" s="8" t="inlineStr">
        <is>
          <t>高匹配</t>
        </is>
      </c>
      <c r="E22" s="8" t="inlineStr">
        <is>
          <t>高</t>
        </is>
      </c>
      <c r="F22" s="8" t="inlineStr">
        <is>
          <t>未写</t>
        </is>
      </c>
      <c r="G22" s="8" t="n"/>
      <c r="H22" s="8" t="n"/>
    </row>
    <row r="23" ht="32" customHeight="1">
      <c r="A23" s="8" t="inlineStr">
        <is>
          <t>我做好一个人过一生的准备之后，才遇到他</t>
        </is>
      </c>
      <c r="B23" s="8" t="inlineStr">
        <is>
          <t>生活感悟</t>
        </is>
      </c>
      <c r="C23" s="8" t="inlineStr">
        <is>
          <t>情绪共鸣</t>
        </is>
      </c>
      <c r="D23" s="8" t="inlineStr">
        <is>
          <t>高匹配</t>
        </is>
      </c>
      <c r="E23" s="8" t="inlineStr">
        <is>
          <t>高</t>
        </is>
      </c>
      <c r="F23" s="8" t="inlineStr">
        <is>
          <t>未写</t>
        </is>
      </c>
      <c r="G23" s="8" t="n"/>
      <c r="H23" s="8" t="n"/>
    </row>
    <row r="24" ht="32" customHeight="1">
      <c r="A24" s="8" t="inlineStr">
        <is>
          <t>女儿哭的时候，我听见了自己小时候的哭声</t>
        </is>
      </c>
      <c r="B24" s="8" t="inlineStr">
        <is>
          <t>育儿育己</t>
        </is>
      </c>
      <c r="C24" s="8" t="inlineStr">
        <is>
          <t>情绪共鸣</t>
        </is>
      </c>
      <c r="D24" s="8" t="inlineStr">
        <is>
          <t>高匹配</t>
        </is>
      </c>
      <c r="E24" s="8" t="inlineStr">
        <is>
          <t>高</t>
        </is>
      </c>
      <c r="F24" s="8" t="inlineStr">
        <is>
          <t>未写</t>
        </is>
      </c>
      <c r="G24" s="8" t="n"/>
      <c r="H24" s="8" t="n"/>
    </row>
    <row r="25" ht="32" customHeight="1">
      <c r="A25" s="8" t="inlineStr">
        <is>
          <t>他的家人让我第一次知道，家可以不吵</t>
        </is>
      </c>
      <c r="B25" s="8" t="inlineStr">
        <is>
          <t>生活感悟</t>
        </is>
      </c>
      <c r="C25" s="8" t="inlineStr">
        <is>
          <t>情绪共鸣</t>
        </is>
      </c>
      <c r="D25" s="8" t="inlineStr">
        <is>
          <t>高匹配</t>
        </is>
      </c>
      <c r="E25" s="8" t="inlineStr">
        <is>
          <t>中</t>
        </is>
      </c>
      <c r="F25" s="8" t="inlineStr">
        <is>
          <t>未写</t>
        </is>
      </c>
      <c r="G25" s="8" t="n"/>
      <c r="H25" s="8" t="n"/>
    </row>
    <row r="26" ht="32" customHeight="1">
      <c r="A26" s="8" t="inlineStr">
        <is>
          <t>开花店三年半，我没赚也没亏，但我知道了一件事</t>
        </is>
      </c>
      <c r="B26" s="8" t="inlineStr">
        <is>
          <t>生活感悟</t>
        </is>
      </c>
      <c r="C26" s="8" t="inlineStr">
        <is>
          <t>认知启发</t>
        </is>
      </c>
      <c r="D26" s="8" t="inlineStr">
        <is>
          <t>高匹配</t>
        </is>
      </c>
      <c r="E26" s="8" t="inlineStr">
        <is>
          <t>高</t>
        </is>
      </c>
      <c r="F26" s="8" t="inlineStr">
        <is>
          <t>未写</t>
        </is>
      </c>
      <c r="G26" s="8" t="n"/>
      <c r="H26" s="8" t="n"/>
    </row>
    <row r="27" ht="32" customHeight="1">
      <c r="A27" s="8" t="inlineStr">
        <is>
          <t>有人问我"教插花能赚多少钱"</t>
        </is>
      </c>
      <c r="B27" s="8" t="inlineStr">
        <is>
          <t>生活感悟</t>
        </is>
      </c>
      <c r="C27" s="8" t="inlineStr">
        <is>
          <t>情绪共鸣</t>
        </is>
      </c>
      <c r="D27" s="8" t="inlineStr">
        <is>
          <t>高匹配</t>
        </is>
      </c>
      <c r="E27" s="8" t="inlineStr">
        <is>
          <t>中</t>
        </is>
      </c>
      <c r="F27" s="8" t="inlineStr">
        <is>
          <t>未写</t>
        </is>
      </c>
      <c r="G27" s="8" t="n"/>
      <c r="H27" s="8" t="n"/>
    </row>
    <row r="28" ht="32" customHeight="1">
      <c r="A28" s="8" t="inlineStr">
        <is>
          <t>我不想再被关在同一个地方卖东西</t>
        </is>
      </c>
      <c r="B28" s="8" t="inlineStr">
        <is>
          <t>生活感悟</t>
        </is>
      </c>
      <c r="C28" s="8" t="inlineStr">
        <is>
          <t>认知启发</t>
        </is>
      </c>
      <c r="D28" s="8" t="inlineStr">
        <is>
          <t>高匹配</t>
        </is>
      </c>
      <c r="E28" s="8" t="inlineStr">
        <is>
          <t>中</t>
        </is>
      </c>
      <c r="F28" s="8" t="inlineStr">
        <is>
          <t>未写</t>
        </is>
      </c>
      <c r="G28" s="8" t="n"/>
      <c r="H28" s="8" t="n"/>
    </row>
    <row r="29" ht="32" customHeight="1">
      <c r="A29" s="8" t="inlineStr">
        <is>
          <t>第一篇文章写完三小时不敢点推送</t>
        </is>
      </c>
      <c r="B29" s="8" t="inlineStr">
        <is>
          <t>生活感悟</t>
        </is>
      </c>
      <c r="C29" s="8" t="inlineStr">
        <is>
          <t>情绪共鸣</t>
        </is>
      </c>
      <c r="D29" s="8" t="inlineStr">
        <is>
          <t>高匹配</t>
        </is>
      </c>
      <c r="E29" s="8" t="inlineStr">
        <is>
          <t>中</t>
        </is>
      </c>
      <c r="F29" s="8" t="inlineStr">
        <is>
          <t>未写</t>
        </is>
      </c>
      <c r="G29" s="8" t="n"/>
      <c r="H29" s="8" t="n"/>
    </row>
    <row r="30" ht="32" customHeight="1">
      <c r="A30" s="8" t="inlineStr">
        <is>
          <t>"我养你"这句话，甜，也让我心慌</t>
        </is>
      </c>
      <c r="B30" s="8" t="inlineStr">
        <is>
          <t>生活感悟</t>
        </is>
      </c>
      <c r="C30" s="8" t="inlineStr">
        <is>
          <t>情绪共鸣</t>
        </is>
      </c>
      <c r="D30" s="8" t="inlineStr">
        <is>
          <t>高匹配</t>
        </is>
      </c>
      <c r="E30" s="8" t="inlineStr">
        <is>
          <t>高</t>
        </is>
      </c>
      <c r="F30" s="8" t="inlineStr">
        <is>
          <t>未写</t>
        </is>
      </c>
      <c r="G30" s="8" t="n"/>
      <c r="H30" s="8" t="n"/>
    </row>
    <row r="31" ht="32" customHeight="1">
      <c r="A31" s="8" t="inlineStr">
        <is>
          <t>我们约定睡前不谈孩子</t>
        </is>
      </c>
      <c r="B31" s="8" t="inlineStr">
        <is>
          <t>生活感悟</t>
        </is>
      </c>
      <c r="C31" s="8" t="inlineStr">
        <is>
          <t>认知启发</t>
        </is>
      </c>
      <c r="D31" s="8" t="inlineStr">
        <is>
          <t>高匹配</t>
        </is>
      </c>
      <c r="E31" s="8" t="inlineStr">
        <is>
          <t>中</t>
        </is>
      </c>
      <c r="F31" s="8" t="inlineStr">
        <is>
          <t>未写</t>
        </is>
      </c>
      <c r="G31" s="8" t="n"/>
      <c r="H31" s="8" t="n"/>
    </row>
    <row r="32" ht="32" customHeight="1">
      <c r="A32" s="8" t="inlineStr">
        <is>
          <t>婚姻是一个副本，不是主线</t>
        </is>
      </c>
      <c r="B32" s="8" t="inlineStr">
        <is>
          <t>生活感悟</t>
        </is>
      </c>
      <c r="C32" s="8" t="inlineStr">
        <is>
          <t>认知启发</t>
        </is>
      </c>
      <c r="D32" s="8" t="inlineStr">
        <is>
          <t>高匹配</t>
        </is>
      </c>
      <c r="E32" s="8" t="inlineStr">
        <is>
          <t>高</t>
        </is>
      </c>
      <c r="F32" s="8" t="inlineStr">
        <is>
          <t>未写</t>
        </is>
      </c>
      <c r="G32" s="8" t="n"/>
      <c r="H32" s="8" t="n"/>
    </row>
    <row r="33" ht="32" customHeight="1">
      <c r="A33" s="8" t="inlineStr">
        <is>
          <t>我们很少吵架，不是因为我们脾气好</t>
        </is>
      </c>
      <c r="B33" s="8" t="inlineStr">
        <is>
          <t>生活感悟</t>
        </is>
      </c>
      <c r="C33" s="8" t="inlineStr">
        <is>
          <t>认知启发</t>
        </is>
      </c>
      <c r="D33" s="8" t="inlineStr">
        <is>
          <t>高匹配</t>
        </is>
      </c>
      <c r="E33" s="8" t="inlineStr">
        <is>
          <t>中</t>
        </is>
      </c>
      <c r="F33" s="8" t="inlineStr">
        <is>
          <t>未写</t>
        </is>
      </c>
      <c r="G33" s="8" t="n"/>
      <c r="H33" s="8" t="n"/>
    </row>
    <row r="35" ht="34" customHeight="1">
      <c r="A35" s="45" t="inlineStr">
        <is>
          <t>【使用说明】</t>
        </is>
      </c>
    </row>
    <row r="36" ht="20" customHeight="1">
      <c r="A36" s="8" t="inlineStr">
        <is>
          <t>优先级：高=数据验证过的优质方向，中=有潜力待验证，低=需谨慎尝试</t>
        </is>
      </c>
      <c r="B36" s="46" t="n"/>
      <c r="C36" s="46" t="n"/>
      <c r="D36" s="46" t="n"/>
      <c r="E36" s="46" t="n"/>
      <c r="F36" s="46" t="n"/>
      <c r="G36" s="46" t="n"/>
      <c r="H36" s="47" t="n"/>
    </row>
    <row r="37" ht="20" customHeight="1">
      <c r="A37" s="8" t="inlineStr">
        <is>
          <t>选题按两条轴筛：① 打开率潜力（能否做成「数字+具体事件+反转」）② 精准度（是否指向 25-45 岁女性的处境）。轴2 低的一律不写——那是在给算法喂错误的画像</t>
        </is>
      </c>
      <c r="B37" s="46" t="n"/>
      <c r="C37" s="46" t="n"/>
      <c r="D37" s="46" t="n"/>
      <c r="E37" s="46" t="n"/>
      <c r="F37" s="46" t="n"/>
      <c r="G37" s="46" t="n"/>
      <c r="H37" s="47" t="n"/>
    </row>
    <row r="38" ht="20" customHeight="1">
      <c r="A38" s="8" t="inlineStr">
        <is>
          <t>每写一篇文章后，在"数据表现"列填入核心数据（打开率/完读率/涨粉/25-45岁占比），持续积累选题效果数据</t>
        </is>
      </c>
      <c r="B38" s="46" t="n"/>
      <c r="C38" s="46" t="n"/>
      <c r="D38" s="46" t="n"/>
      <c r="E38" s="46" t="n"/>
      <c r="F38" s="46" t="n"/>
      <c r="G38" s="46" t="n"/>
      <c r="H38" s="47" t="n"/>
    </row>
    <row r="39" ht="20" customHeight="1">
      <c r="A39" s="8" t="inlineStr">
        <is>
          <t>定期回顾：优先加厚「高打开率 + 高精准」的题材，并把跑出来的题材做成 2~3 篇的系列</t>
        </is>
      </c>
      <c r="B39" s="46" t="n"/>
      <c r="C39" s="46" t="n"/>
      <c r="D39" s="46" t="n"/>
      <c r="E39" s="46" t="n"/>
      <c r="F39" s="46" t="n"/>
      <c r="G39" s="46" t="n"/>
      <c r="H39" s="47" t="n"/>
    </row>
  </sheetData>
  <mergeCells count="7">
    <mergeCell ref="A39:H39"/>
    <mergeCell ref="A35:H35"/>
    <mergeCell ref="A38:H38"/>
    <mergeCell ref="A2:H2"/>
    <mergeCell ref="A36:H36"/>
    <mergeCell ref="A1:H1"/>
    <mergeCell ref="A37:H37"/>
  </mergeCells>
  <dataValidations count="2">
    <dataValidation sqref="E5:E25" showDropDown="0" showInputMessage="0" showErrorMessage="0" allowBlank="1" type="list">
      <formula1>"高,中,低"</formula1>
    </dataValidation>
    <dataValidation sqref="F5:F25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2026-09-17T20:05:00Z</dcterms:created>
  <dcterms:modified xmlns:dcterms="http://purl.org/dc/terms/" xmlns:xsi="http://www.w3.org/2001/XMLSchema-instance" xsi:type="dcterms:W3CDTF">2026-09-21T10:58:11Z</dcterms:modified>
  <cp:lastModifiedBy>付先森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B80DE782B7508C18B883AE6ABFF98C65_42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