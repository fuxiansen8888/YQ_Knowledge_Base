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20"/>
  </bookViews>
  <sheets>
    <sheet name="文章数据记录" sheetId="1" r:id="rId1"/>
    <sheet name="方向×价值类型透视" sheetId="2" r:id="rId2"/>
    <sheet name="数据收集指南" sheetId="4" r:id="rId3"/>
    <sheet name="选题库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<sst xmlns="http://schemas.openxmlformats.org/spreadsheetml/2006/main" count="602" uniqueCount="202">
  <si>
    <t>公众号文章数据分析表</t>
  </si>
  <si>
    <t>核心目标读者：25-45岁女性 | 内容方向：生活感悟/育儿育己/深度思考/植物美学/追剧观影</t>
  </si>
  <si>
    <t>第一层：基础信息</t>
  </si>
  <si>
    <t>第二层：流量表现</t>
  </si>
  <si>
    <t>第三层：内容质量</t>
  </si>
  <si>
    <t>第四层：传播转化</t>
  </si>
  <si>
    <t>第五层：人群匹配</t>
  </si>
  <si>
    <t>序号</t>
  </si>
  <si>
    <t>发布日期</t>
  </si>
  <si>
    <t>标题</t>
  </si>
  <si>
    <t>字数</t>
  </si>
  <si>
    <t>内容方向</t>
  </si>
  <si>
    <t>人群匹配度</t>
  </si>
  <si>
    <t>核心价值类型</t>
  </si>
  <si>
    <t>送达人数</t>
  </si>
  <si>
    <t>阅读人数</t>
  </si>
  <si>
    <t>阅读次数</t>
  </si>
  <si>
    <t>打开率</t>
  </si>
  <si>
    <t>推荐占比</t>
  </si>
  <si>
    <t>搜一搜占比</t>
  </si>
  <si>
    <t>完读率</t>
  </si>
  <si>
    <t>平均停留时长</t>
  </si>
  <si>
    <t>跳出率</t>
  </si>
  <si>
    <t>微信收藏人数</t>
  </si>
  <si>
    <t>收藏率</t>
  </si>
  <si>
    <t>点赞数</t>
  </si>
  <si>
    <t>在看数</t>
  </si>
  <si>
    <t>分享人数</t>
  </si>
  <si>
    <t>分享率</t>
  </si>
  <si>
    <t>读后关注人数</t>
  </si>
  <si>
    <t>女性读者占比</t>
  </si>
  <si>
    <t>25-45岁读者占比</t>
  </si>
  <si>
    <t>目标人群匹配度</t>
  </si>
  <si>
    <t>单篇涨粉数</t>
  </si>
  <si>
    <t>涨粉转化率</t>
  </si>
  <si>
    <t>2026-09-01</t>
  </si>
  <si>
    <t>为什么越提醒，孩子越磨蹭？因为催促本质是一种预设的指责</t>
  </si>
  <si>
    <t>植物美学</t>
  </si>
  <si>
    <t>高匹配</t>
  </si>
  <si>
    <t>审美滋养</t>
  </si>
  <si>
    <t/>
  </si>
  <si>
    <t>70%</t>
  </si>
  <si>
    <t>55%</t>
  </si>
  <si>
    <t>s</t>
  </si>
  <si>
    <t>【填写说明】</t>
  </si>
  <si>
    <t>第一层（基础信息）：序号自动编号 | 星期由发布日期自动生成 | 内容方向/人群匹配度/核心价值类型使用下拉菜单选择</t>
  </si>
  <si>
    <t>第二层（流量表现）：送达人数/阅读人数/阅读次数从后台导出 | 打开率自动计算 | 推荐占比/搜一搜占比从单篇详情查看</t>
  </si>
  <si>
    <t>第三层（内容质量）：完读率/停留时长/跳出率从单篇详情查看 | 收藏率自动计算</t>
  </si>
  <si>
    <t>第四层（传播转化）：点赞/在看/分享/读后关注从后台导出 | 分享率自动计算</t>
  </si>
  <si>
    <t>第五层（人群匹配）：女性读者占比/25-45岁占比从单篇详情→用户画像查看 | 目标人群匹配度自动判断（女性≥60%且25-45岁≥50%为高匹配）| 涨粉转化率自动计算</t>
  </si>
  <si>
    <t>数据更新延迟：每日数据截至24点统计，次日中午12点前显示 | 单篇发布满24小时后才生成完整分析报表</t>
  </si>
  <si>
    <t>核心指标参考：打开率≥5%合格≥10%优质 | 分享率≥2%合格≥10%强传播 | 完读率≥40%有推荐≥50%进优质池</t>
  </si>
  <si>
    <t>内容方向 × 核心价值类型 透视分析</t>
  </si>
  <si>
    <t>按内容方向+核心价值类型+人群匹配度交叉分析，找出最优内容组合（需手动填入汇总数据，或使用Excel数据透视表连接Sheet1数据源）</t>
  </si>
  <si>
    <t>文章数</t>
  </si>
  <si>
    <t>平均打开率</t>
  </si>
  <si>
    <t>平均完读率</t>
  </si>
  <si>
    <t>平均分享率</t>
  </si>
  <si>
    <t>平均女性占比</t>
  </si>
  <si>
    <t>平均25-45岁占比</t>
  </si>
  <si>
    <t>平均涨粉转化率</t>
  </si>
  <si>
    <t>结论与建议</t>
  </si>
  <si>
    <t>生活感悟</t>
  </si>
  <si>
    <t>情绪共鸣</t>
  </si>
  <si>
    <t>8.5%</t>
  </si>
  <si>
    <t>45%</t>
  </si>
  <si>
    <t>6.2%</t>
  </si>
  <si>
    <t>72%</t>
  </si>
  <si>
    <t>58%</t>
  </si>
  <si>
    <t>1.8%</t>
  </si>
  <si>
    <t>核心赛道，重点深耕</t>
  </si>
  <si>
    <t>认知启发</t>
  </si>
  <si>
    <t>中匹配</t>
  </si>
  <si>
    <t>6.0%</t>
  </si>
  <si>
    <t>38%</t>
  </si>
  <si>
    <t>3.5%</t>
  </si>
  <si>
    <t>1.0%</t>
  </si>
  <si>
    <t>内核对但吸引力一般</t>
  </si>
  <si>
    <t>育儿育己</t>
  </si>
  <si>
    <t>9.2%</t>
  </si>
  <si>
    <t>52%</t>
  </si>
  <si>
    <t>8.1%</t>
  </si>
  <si>
    <t>78%</t>
  </si>
  <si>
    <t>65%</t>
  </si>
  <si>
    <t>2.5%</t>
  </si>
  <si>
    <t>核心赛道，数据表现最优</t>
  </si>
  <si>
    <t>实用方法</t>
  </si>
  <si>
    <t>7.8%</t>
  </si>
  <si>
    <t>48%</t>
  </si>
  <si>
    <t>5.5%</t>
  </si>
  <si>
    <t>75%</t>
  </si>
  <si>
    <t>60%</t>
  </si>
  <si>
    <t>实用+共鸣组合效果好</t>
  </si>
  <si>
    <t>深度思考</t>
  </si>
  <si>
    <t>35%</t>
  </si>
  <si>
    <t>3.2%</t>
  </si>
  <si>
    <t>40%</t>
  </si>
  <si>
    <t>0.8%</t>
  </si>
  <si>
    <t>内核对但表达偏硬，需更落地</t>
  </si>
  <si>
    <t>7.0%</t>
  </si>
  <si>
    <t>42%</t>
  </si>
  <si>
    <t>4.8%</t>
  </si>
  <si>
    <t>1.5%</t>
  </si>
  <si>
    <t>有潜力，加入情绪元素可提升</t>
  </si>
  <si>
    <t>7.5%</t>
  </si>
  <si>
    <t>46%</t>
  </si>
  <si>
    <t>5.2%</t>
  </si>
  <si>
    <t>82%</t>
  </si>
  <si>
    <t>1.6%</t>
  </si>
  <si>
    <t>女性吸引力强，可加方法元素</t>
  </si>
  <si>
    <t>5.8%</t>
  </si>
  <si>
    <t>36%</t>
  </si>
  <si>
    <t>2.8%</t>
  </si>
  <si>
    <t>0.7%</t>
  </si>
  <si>
    <t>审美+认知组合待验证</t>
  </si>
  <si>
    <t>追剧观影</t>
  </si>
  <si>
    <t>纯粹记录</t>
  </si>
  <si>
    <t>低匹配</t>
  </si>
  <si>
    <t>4.2%</t>
  </si>
  <si>
    <t>28%</t>
  </si>
  <si>
    <t>0.3%</t>
  </si>
  <si>
    <t>减少此类或强化婚育关联</t>
  </si>
  <si>
    <t>5.0%</t>
  </si>
  <si>
    <t>32%</t>
  </si>
  <si>
    <t>50%</t>
  </si>
  <si>
    <t>0.6%</t>
  </si>
  <si>
    <t>加入成长视角或可提升</t>
  </si>
  <si>
    <t>【使用说明】</t>
  </si>
  <si>
    <t>方法一（推荐）：选中Sheet1所有数据 → 插入 → 数据透视表 → 行标签放"内容方向"和"核心价值类型"，值字段放打开率/完读率/分享率等的平均值</t>
  </si>
  <si>
    <t>方法二：手动按上述模板汇总，每写5-10篇文章更新一次</t>
  </si>
  <si>
    <t>结论判断标准：分享率≥5%且女性占比≥70%且25-45岁占比≥55% → 核心赛道 | 三项中有两项达标 → 潜力赛道 | 均不达标 → 减少或优化</t>
  </si>
  <si>
    <t>公众号后台数据收集指南</t>
  </si>
  <si>
    <t>数据模块</t>
  </si>
  <si>
    <t>具体指标</t>
  </si>
  <si>
    <t>获取路径</t>
  </si>
  <si>
    <t>频率</t>
  </si>
  <si>
    <t>备注</t>
  </si>
  <si>
    <t>基础信息</t>
  </si>
  <si>
    <t>序号/发布日期/标题/字数</t>
  </si>
  <si>
    <t>手动填写</t>
  </si>
  <si>
    <t>每篇</t>
  </si>
  <si>
    <t>字数可复制正文到Word查看</t>
  </si>
  <si>
    <t>星期</t>
  </si>
  <si>
    <t>自动公式生成</t>
  </si>
  <si>
    <t>—</t>
  </si>
  <si>
    <t>无需手动填写</t>
  </si>
  <si>
    <t>流量表现</t>
  </si>
  <si>
    <t>后台→数据→内容分析→群发分析→下载数据明细</t>
  </si>
  <si>
    <t>Excel导出</t>
  </si>
  <si>
    <t>同上</t>
  </si>
  <si>
    <t>自动公式=阅读人数/送达人数</t>
  </si>
  <si>
    <t>单篇详情→阅读来源→推荐</t>
  </si>
  <si>
    <t>单篇详情→阅读来源→搜一搜</t>
  </si>
  <si>
    <t>内容质量</t>
  </si>
  <si>
    <t>单篇详情</t>
  </si>
  <si>
    <t>手动填写，核心指标</t>
  </si>
  <si>
    <t>后台→群发分析→下载数据明细</t>
  </si>
  <si>
    <t>自动公式=收藏人数/阅读人数</t>
  </si>
  <si>
    <t>传播转化</t>
  </si>
  <si>
    <t>自动公式=分享人数/阅读人数</t>
  </si>
  <si>
    <t>单篇详情→读后关注</t>
  </si>
  <si>
    <t>人群匹配</t>
  </si>
  <si>
    <t>单篇详情→用户画像→性别分布</t>
  </si>
  <si>
    <t>单篇详情→用户画像→年龄分布（26-35+36-45）</t>
  </si>
  <si>
    <t>手动填写，需自行加总</t>
  </si>
  <si>
    <t>自动公式判断</t>
  </si>
  <si>
    <t>自动公式=涨粉数/阅读人数</t>
  </si>
  <si>
    <t>婚育成长主题选题库</t>
  </si>
  <si>
    <t>把数据分析和选题策划打通，形成"写→看数据→优化选题→再写"的闭环</t>
  </si>
  <si>
    <t>选题</t>
  </si>
  <si>
    <t>人群匹配度预判</t>
  </si>
  <si>
    <t>优先级</t>
  </si>
  <si>
    <t>是否已写</t>
  </si>
  <si>
    <t>对应文章标题</t>
  </si>
  <si>
    <t>数据表现</t>
  </si>
  <si>
    <t>高敏感妈妈如何不被孩子的情绪绑架</t>
  </si>
  <si>
    <t>情绪共鸣+实用方法</t>
  </si>
  <si>
    <t>高</t>
  </si>
  <si>
    <t>是</t>
  </si>
  <si>
    <t>孩子哭闹时我在想自己的人生</t>
  </si>
  <si>
    <t>分享率8.1%，女性78%</t>
  </si>
  <si>
    <t>插花30分钟，治好了我的产后焦虑</t>
  </si>
  <si>
    <t>审美滋养+情绪共鸣</t>
  </si>
  <si>
    <t>阳台上的小花园治好了我的焦虑</t>
  </si>
  <si>
    <t>分享率5.2%，女性82%</t>
  </si>
  <si>
    <t>结婚后我为什么越来越不爱社交</t>
  </si>
  <si>
    <t>情绪共鸣+认知启发</t>
  </si>
  <si>
    <t>否</t>
  </si>
  <si>
    <t>40岁重新学画画，我找回了对生活的掌控感</t>
  </si>
  <si>
    <t>审美滋养+认知启发</t>
  </si>
  <si>
    <t>为什么好妈妈不需要完美</t>
  </si>
  <si>
    <t>夫妻深度对谈：我们为什么要各自成长</t>
  </si>
  <si>
    <t>认知启发+情绪共鸣</t>
  </si>
  <si>
    <t>中</t>
  </si>
  <si>
    <t>离婚后我闺蜜说的那句话，让我释怀了</t>
  </si>
  <si>
    <t>最近追的剧，让我 rethink 了婚姻里的付出</t>
  </si>
  <si>
    <t>低</t>
  </si>
  <si>
    <t>高敏感孩子的妈妈，请先照顾好自己</t>
  </si>
  <si>
    <t>一个人去花市买花，是我每周的充电仪式</t>
  </si>
  <si>
    <t>优先级：高=数据验证过的优质方向，中=有潜力待验证，低=需谨慎尝试</t>
  </si>
  <si>
    <t>每写一篇文章后，在"数据表现"列填入该文章的核心数据，持续积累选题效果数据</t>
  </si>
  <si>
    <t>定期回顾已写选题的数据表现，优先选择"高匹配+高分享率"方向的选题深入挖掘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</si>
</sst>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4"/>
      <color rgb="FF1C3A5E"/>
      <name val="微软雅黑"/>
      <charset val="134"/>
    </font>
    <font>
      <i/>
      <sz val="9"/>
      <color rgb="FF8A94A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color rgb="FF1C3A5E"/>
      <name val="微软雅黑"/>
      <charset val="134"/>
    </font>
    <font>
      <b/>
      <sz val="10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59A14F"/>
        <bgColor rgb="FF59A14F"/>
      </patternFill>
    </fill>
    <fill>
      <patternFill patternType="solid">
        <fgColor rgb="FFF28E2B"/>
        <bgColor rgb="FFF28E2B"/>
      </patternFill>
    </fill>
    <fill>
      <patternFill patternType="solid">
        <fgColor rgb="FFE15759"/>
        <bgColor rgb="FFE15759"/>
      </patternFill>
    </fill>
    <fill>
      <patternFill patternType="solid">
        <fgColor rgb="FFB07AA1"/>
        <bgColor rgb="FFB07AA1"/>
      </patternFill>
    </fill>
    <fill>
      <patternFill patternType="solid">
        <fgColor rgb="FF1C3A5E"/>
        <bgColor rgb="FF1C3A5E"/>
      </patternFill>
    </fill>
    <fill>
      <patternFill patternType="solid">
        <fgColor rgb="FFF2F2F2"/>
        <bgColor rgb="FFF2F2F2"/>
      </patternFill>
    </fill>
    <fill>
      <patternFill patternType="solid">
        <fgColor rgb="FF8A94A6"/>
        <bgColor rgb="FF8A94A6"/>
      </patternFill>
    </fill>
    <fill>
      <patternFill patternType="solid">
        <fgColor theme="8"/>
        <bgColor rgb="FF4E79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/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6" fillId="5" borderId="0" xfId="0" applyFont="1" applyFill="1" applyAlignment="1">
      <alignment horizontal="center" vertical="center"/>
    </xf>
    <xf numFmtId="0" fontId="0" fillId="5" borderId="0" xfId="0" applyFill="1"/>
    <xf numFmtId="0" fontId="6" fillId="6" borderId="0" xfId="0" applyFont="1" applyFill="1" applyAlignment="1">
      <alignment horizontal="center" vertical="center"/>
    </xf>
    <xf numFmtId="0" fontId="0" fillId="6" borderId="0" xfId="0" applyFill="1"/>
    <xf numFmtId="0" fontId="3" fillId="1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9"/>
  <sheetViews>
    <sheetView tabSelected="1" topLeftCell="B1" workbookViewId="0">
      <pane ySplit="5" topLeftCell="A6" activePane="bottomLeft" state="frozen"/>
      <selection/>
      <selection pane="bottomLeft" activeCell="E10" sqref="E10"/>
    </sheetView>
  </sheetViews>
  <sheetFormatPr defaultColWidth="9" defaultRowHeight="16.8"/>
  <cols>
    <col min="1" max="1" width="6" customWidth="1"/>
    <col min="2" max="2" width="13" customWidth="1"/>
    <col min="3" max="3" width="54.4285714285714" customWidth="1"/>
    <col min="4" max="4" width="8" customWidth="1"/>
    <col min="5" max="5" width="12" customWidth="1"/>
    <col min="6" max="6" width="11" customWidth="1"/>
    <col min="7" max="7" width="13" customWidth="1"/>
    <col min="8" max="10" width="10" customWidth="1"/>
    <col min="11" max="11" width="9" customWidth="1"/>
    <col min="12" max="13" width="10" customWidth="1"/>
    <col min="14" max="14" width="9" customWidth="1"/>
    <col min="15" max="15" width="12" customWidth="1"/>
    <col min="16" max="16" width="9" customWidth="1"/>
    <col min="17" max="17" width="12" customWidth="1"/>
    <col min="18" max="18" width="9" customWidth="1"/>
    <col min="19" max="20" width="8" customWidth="1"/>
    <col min="21" max="22" width="9" customWidth="1"/>
    <col min="23" max="24" width="12" customWidth="1"/>
    <col min="25" max="25" width="14" customWidth="1"/>
    <col min="26" max="26" width="13" customWidth="1"/>
    <col min="27" max="27" width="10" customWidth="1"/>
    <col min="28" max="28" width="12" customWidth="1"/>
  </cols>
  <sheetData>
    <row r="1" ht="35" customHeight="1" spans="1:29">
      <c r="A1" s="1" t="s">
        <v>0</v>
      </c>
    </row>
    <row r="2" ht="22" customHeight="1" spans="1:29">
      <c r="A2" s="16" t="s">
        <v>1</v>
      </c>
    </row>
    <row r="3" ht="8" customHeight="1"/>
    <row r="4" ht="28" customHeight="1" spans="1:29">
      <c r="A4" s="17" t="s">
        <v>2</v>
      </c>
      <c r="B4" s="18"/>
      <c r="C4" s="18"/>
      <c r="D4" s="18"/>
      <c r="E4" s="18"/>
      <c r="F4" s="18"/>
      <c r="G4" s="18"/>
      <c r="H4" s="19" t="s">
        <v>3</v>
      </c>
      <c r="I4" s="20"/>
      <c r="J4" s="20"/>
      <c r="K4" s="20"/>
      <c r="L4" s="20"/>
      <c r="M4" s="20"/>
      <c r="N4" s="21" t="s">
        <v>4</v>
      </c>
      <c r="O4" s="22"/>
      <c r="P4" s="22"/>
      <c r="Q4" s="22"/>
      <c r="R4" s="22"/>
      <c r="S4" s="23" t="s">
        <v>5</v>
      </c>
      <c r="T4" s="24"/>
      <c r="U4" s="24"/>
      <c r="V4" s="24"/>
      <c r="W4" s="24"/>
      <c r="X4" s="25" t="s">
        <v>6</v>
      </c>
      <c r="Y4" s="26"/>
      <c r="Z4" s="26"/>
      <c r="AA4" s="26"/>
      <c r="AB4" s="26"/>
      <c r="AC4" s="26"/>
    </row>
    <row r="5" ht="32" customHeight="1" spans="1:29">
      <c r="A5" s="3" t="s">
        <v>7</v>
      </c>
      <c r="B5" s="3" t="s">
        <v>8</v>
      </c>
      <c r="C5" s="3" t="s">
        <v>9</v>
      </c>
      <c r="D5" s="27" t="s">
        <v>10</v>
      </c>
      <c r="E5" s="27" t="s">
        <v>11</v>
      </c>
      <c r="F5" s="27" t="s">
        <v>12</v>
      </c>
      <c r="G5" s="27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</row>
    <row r="6" ht="24" customHeight="1" spans="1:29">
      <c r="A6" s="9">
        <v>1</v>
      </c>
      <c r="B6" s="9" t="s">
        <v>35</v>
      </c>
      <c r="C6" s="9" t="s">
        <v>36</v>
      </c>
      <c r="D6" s="9">
        <v>1800</v>
      </c>
      <c r="E6" s="9" t="s">
        <v>37</v>
      </c>
      <c r="F6" s="9" t="s">
        <v>38</v>
      </c>
      <c r="G6" s="9" t="s">
        <v>39</v>
      </c>
      <c r="H6" s="9">
        <v>180</v>
      </c>
      <c r="I6" s="9">
        <v>120</v>
      </c>
      <c r="J6" s="9">
        <v>135</v>
      </c>
      <c r="K6" s="28" t="s">
        <v>40</v>
      </c>
      <c r="L6" s="9" t="s">
        <v>40</v>
      </c>
      <c r="M6" s="9" t="s">
        <v>40</v>
      </c>
      <c r="N6" s="9" t="s">
        <v>40</v>
      </c>
      <c r="O6" s="9" t="s">
        <v>40</v>
      </c>
      <c r="P6" s="9" t="s">
        <v>40</v>
      </c>
      <c r="Q6" s="9">
        <v>15</v>
      </c>
      <c r="R6" s="28" t="s">
        <v>40</v>
      </c>
      <c r="S6" s="9">
        <v>30</v>
      </c>
      <c r="T6" s="9">
        <v>25</v>
      </c>
      <c r="U6" s="9">
        <v>8</v>
      </c>
      <c r="V6" s="28" t="s">
        <v>40</v>
      </c>
      <c r="W6" s="9">
        <v>3</v>
      </c>
      <c r="X6" s="28" t="s">
        <v>41</v>
      </c>
      <c r="Y6" s="28" t="s">
        <v>42</v>
      </c>
      <c r="Z6" s="9" t="s">
        <v>40</v>
      </c>
      <c r="AA6" s="9">
        <v>2</v>
      </c>
      <c r="AB6" s="9" t="s">
        <v>40</v>
      </c>
      <c r="AC6" s="29"/>
    </row>
    <row r="7" ht="24" customHeight="1" spans="1:29">
      <c r="A7" s="9"/>
      <c r="B7" s="9"/>
      <c r="C7" s="9"/>
      <c r="D7" s="9"/>
      <c r="E7" s="9"/>
      <c r="F7" s="9"/>
      <c r="G7" s="9"/>
      <c r="H7" s="9"/>
      <c r="I7" s="9"/>
      <c r="J7" s="9"/>
      <c r="K7" s="28"/>
      <c r="L7" s="9"/>
      <c r="M7" s="9"/>
      <c r="N7" s="9"/>
      <c r="O7" s="9"/>
      <c r="P7" s="9"/>
      <c r="Q7" s="9"/>
      <c r="R7" s="28"/>
      <c r="S7" s="9"/>
      <c r="T7" s="9"/>
      <c r="U7" s="9"/>
      <c r="V7" s="28"/>
      <c r="W7" s="9"/>
      <c r="X7" s="28"/>
      <c r="Y7" s="28"/>
      <c r="Z7" s="9"/>
      <c r="AA7" s="9"/>
      <c r="AB7" s="9"/>
      <c r="AC7" s="29"/>
    </row>
    <row r="8" ht="24" customHeight="1" spans="1:29">
      <c r="A8" s="9"/>
      <c r="B8" s="9"/>
      <c r="C8" s="9" t="s">
        <v>43</v>
      </c>
      <c r="D8" s="9"/>
      <c r="E8" s="9"/>
      <c r="F8" s="9"/>
      <c r="G8" s="9"/>
      <c r="H8" s="9"/>
      <c r="I8" s="9"/>
      <c r="J8" s="9"/>
      <c r="K8" s="28"/>
      <c r="L8" s="9"/>
      <c r="M8" s="9"/>
      <c r="N8" s="9"/>
      <c r="O8" s="9"/>
      <c r="P8" s="9"/>
      <c r="Q8" s="9"/>
      <c r="R8" s="28"/>
      <c r="S8" s="9"/>
      <c r="T8" s="9"/>
      <c r="U8" s="9"/>
      <c r="V8" s="28"/>
      <c r="W8" s="9"/>
      <c r="X8" s="28"/>
      <c r="Y8" s="28"/>
      <c r="Z8" s="9"/>
      <c r="AA8" s="9"/>
      <c r="AB8" s="9"/>
      <c r="AC8" s="29"/>
    </row>
    <row r="9" ht="24" customHeight="1" spans="1:29">
      <c r="A9" s="9"/>
      <c r="B9" s="9"/>
      <c r="C9" s="9"/>
      <c r="D9" s="9"/>
      <c r="E9" s="9"/>
      <c r="F9" s="9"/>
      <c r="G9" s="9"/>
      <c r="H9" s="9"/>
      <c r="I9" s="9"/>
      <c r="J9" s="9"/>
      <c r="K9" s="28"/>
      <c r="L9" s="9"/>
      <c r="M9" s="9"/>
      <c r="N9" s="9"/>
      <c r="O9" s="9"/>
      <c r="P9" s="9"/>
      <c r="Q9" s="9"/>
      <c r="R9" s="28"/>
      <c r="S9" s="9"/>
      <c r="T9" s="9"/>
      <c r="U9" s="9"/>
      <c r="V9" s="28"/>
      <c r="W9" s="9"/>
      <c r="X9" s="28"/>
      <c r="Y9" s="28"/>
      <c r="Z9" s="9"/>
      <c r="AA9" s="9"/>
      <c r="AB9" s="9"/>
      <c r="AC9" s="29"/>
    </row>
    <row r="10" ht="24" customHeight="1" spans="1:29">
      <c r="A10" s="9"/>
      <c r="B10" s="9"/>
      <c r="C10" s="9"/>
      <c r="D10" s="9"/>
      <c r="E10" s="9"/>
      <c r="F10" s="9"/>
      <c r="G10" s="9"/>
      <c r="H10" s="9"/>
      <c r="I10" s="9"/>
      <c r="J10" s="9"/>
      <c r="K10" s="28"/>
      <c r="L10" s="9"/>
      <c r="M10" s="9"/>
      <c r="N10" s="9"/>
      <c r="O10" s="9"/>
      <c r="P10" s="9"/>
      <c r="Q10" s="9"/>
      <c r="R10" s="28"/>
      <c r="S10" s="9"/>
      <c r="T10" s="9"/>
      <c r="U10" s="9"/>
      <c r="V10" s="28"/>
      <c r="W10" s="9"/>
      <c r="X10" s="28"/>
      <c r="Y10" s="28"/>
      <c r="Z10" s="9"/>
      <c r="AA10" s="9"/>
      <c r="AB10" s="9"/>
      <c r="AC10" s="29"/>
    </row>
    <row r="11" ht="24" customHeight="1" spans="1:29">
      <c r="A11" s="9">
        <v>6</v>
      </c>
      <c r="B11" s="9"/>
      <c r="C11" s="9"/>
      <c r="D11" s="9"/>
      <c r="E11" s="9"/>
      <c r="F11" s="9"/>
      <c r="G11" s="9"/>
      <c r="H11" s="9"/>
      <c r="I11" s="9"/>
      <c r="J11" s="9"/>
      <c r="K11" s="28" t="str">
        <f t="shared" ref="K11:K30" si="0">IF(OR(H11="",I11=""),"",I11/H11)</f>
        <v/>
      </c>
      <c r="L11" s="9"/>
      <c r="M11" s="9"/>
      <c r="N11" s="9"/>
      <c r="O11" s="9"/>
      <c r="P11" s="9"/>
      <c r="Q11" s="9"/>
      <c r="R11" s="28" t="str">
        <f t="shared" ref="R11:R30" si="1">IF(OR(I11="",Q11=""),"",Q11/I11)</f>
        <v/>
      </c>
      <c r="S11" s="9"/>
      <c r="T11" s="9"/>
      <c r="U11" s="9"/>
      <c r="V11" s="28" t="str">
        <f t="shared" ref="V11:V30" si="2">IF(OR(I11="",U11=""),"",U11/I11)</f>
        <v/>
      </c>
      <c r="W11" s="9"/>
      <c r="X11" s="28"/>
      <c r="Y11" s="28"/>
      <c r="Z11" s="9" t="str">
        <f t="shared" ref="Z11:Z30" si="3">IF(OR(X11="",Y11=""),"",IF(AND(X11&gt;=0.6,Y11&gt;=0.5),"高匹配","低匹配"))</f>
        <v/>
      </c>
      <c r="AA11" s="9"/>
      <c r="AB11" s="9"/>
      <c r="AC11" s="28" t="str">
        <f t="shared" ref="AC11:AC30" si="4">IF(OR(I11="",AA11=""),"",AA11/I11)</f>
        <v/>
      </c>
    </row>
    <row r="12" ht="24" customHeight="1" spans="1:29">
      <c r="A12" s="9">
        <v>7</v>
      </c>
      <c r="B12" s="9"/>
      <c r="C12" s="9"/>
      <c r="D12" s="9"/>
      <c r="E12" s="9"/>
      <c r="F12" s="9"/>
      <c r="G12" s="9"/>
      <c r="H12" s="9"/>
      <c r="I12" s="9"/>
      <c r="J12" s="9"/>
      <c r="K12" s="28" t="str">
        <f t="shared" si="0"/>
        <v/>
      </c>
      <c r="L12" s="9"/>
      <c r="M12" s="9"/>
      <c r="N12" s="9"/>
      <c r="O12" s="9"/>
      <c r="P12" s="9"/>
      <c r="Q12" s="9"/>
      <c r="R12" s="28" t="str">
        <f t="shared" si="1"/>
        <v/>
      </c>
      <c r="S12" s="9"/>
      <c r="T12" s="9"/>
      <c r="U12" s="9"/>
      <c r="V12" s="28" t="str">
        <f t="shared" si="2"/>
        <v/>
      </c>
      <c r="W12" s="9"/>
      <c r="X12" s="28"/>
      <c r="Y12" s="28"/>
      <c r="Z12" s="9" t="str">
        <f t="shared" si="3"/>
        <v/>
      </c>
      <c r="AA12" s="9"/>
      <c r="AB12" s="9"/>
      <c r="AC12" s="28" t="str">
        <f t="shared" si="4"/>
        <v/>
      </c>
    </row>
    <row r="13" ht="24" customHeight="1" spans="1:29">
      <c r="A13" s="9">
        <v>8</v>
      </c>
      <c r="B13" s="9"/>
      <c r="C13" s="9"/>
      <c r="D13" s="9"/>
      <c r="E13" s="9"/>
      <c r="F13" s="9"/>
      <c r="G13" s="9"/>
      <c r="H13" s="9"/>
      <c r="I13" s="9"/>
      <c r="J13" s="9"/>
      <c r="K13" s="28" t="str">
        <f t="shared" si="0"/>
        <v/>
      </c>
      <c r="L13" s="9"/>
      <c r="M13" s="9"/>
      <c r="N13" s="9"/>
      <c r="O13" s="9"/>
      <c r="P13" s="9"/>
      <c r="Q13" s="9"/>
      <c r="R13" s="28" t="str">
        <f t="shared" si="1"/>
        <v/>
      </c>
      <c r="S13" s="9"/>
      <c r="T13" s="9"/>
      <c r="U13" s="9"/>
      <c r="V13" s="28" t="str">
        <f t="shared" si="2"/>
        <v/>
      </c>
      <c r="W13" s="9"/>
      <c r="X13" s="28"/>
      <c r="Y13" s="28"/>
      <c r="Z13" s="9" t="str">
        <f t="shared" si="3"/>
        <v/>
      </c>
      <c r="AA13" s="9"/>
      <c r="AB13" s="9"/>
      <c r="AC13" s="28" t="str">
        <f t="shared" si="4"/>
        <v/>
      </c>
    </row>
    <row r="14" ht="24" customHeight="1" spans="1:29">
      <c r="A14" s="9">
        <v>9</v>
      </c>
      <c r="B14" s="9"/>
      <c r="C14" s="9"/>
      <c r="D14" s="9"/>
      <c r="E14" s="9"/>
      <c r="F14" s="9"/>
      <c r="G14" s="9"/>
      <c r="H14" s="9"/>
      <c r="I14" s="9"/>
      <c r="J14" s="9"/>
      <c r="K14" s="28" t="str">
        <f t="shared" si="0"/>
        <v/>
      </c>
      <c r="L14" s="9"/>
      <c r="M14" s="9"/>
      <c r="N14" s="9"/>
      <c r="O14" s="9"/>
      <c r="P14" s="9"/>
      <c r="Q14" s="9"/>
      <c r="R14" s="28" t="str">
        <f t="shared" si="1"/>
        <v/>
      </c>
      <c r="S14" s="9"/>
      <c r="T14" s="9"/>
      <c r="U14" s="9"/>
      <c r="V14" s="28" t="str">
        <f t="shared" si="2"/>
        <v/>
      </c>
      <c r="W14" s="9"/>
      <c r="X14" s="28"/>
      <c r="Y14" s="28"/>
      <c r="Z14" s="9" t="str">
        <f t="shared" si="3"/>
        <v/>
      </c>
      <c r="AA14" s="9"/>
      <c r="AB14" s="9"/>
      <c r="AC14" s="28" t="str">
        <f t="shared" si="4"/>
        <v/>
      </c>
    </row>
    <row r="15" ht="24" customHeight="1" spans="1:29">
      <c r="A15" s="9">
        <v>10</v>
      </c>
      <c r="B15" s="9"/>
      <c r="C15" s="9"/>
      <c r="D15" s="9"/>
      <c r="E15" s="9"/>
      <c r="F15" s="9"/>
      <c r="G15" s="9"/>
      <c r="H15" s="9"/>
      <c r="I15" s="9"/>
      <c r="J15" s="9"/>
      <c r="K15" s="28" t="str">
        <f t="shared" si="0"/>
        <v/>
      </c>
      <c r="L15" s="9"/>
      <c r="M15" s="9"/>
      <c r="N15" s="9"/>
      <c r="O15" s="9"/>
      <c r="P15" s="9"/>
      <c r="Q15" s="9"/>
      <c r="R15" s="28" t="str">
        <f t="shared" si="1"/>
        <v/>
      </c>
      <c r="S15" s="9"/>
      <c r="T15" s="9"/>
      <c r="U15" s="9"/>
      <c r="V15" s="28" t="str">
        <f t="shared" si="2"/>
        <v/>
      </c>
      <c r="W15" s="9"/>
      <c r="X15" s="28"/>
      <c r="Y15" s="28"/>
      <c r="Z15" s="9" t="str">
        <f t="shared" si="3"/>
        <v/>
      </c>
      <c r="AA15" s="9"/>
      <c r="AB15" s="9"/>
      <c r="AC15" s="28" t="str">
        <f t="shared" si="4"/>
        <v/>
      </c>
    </row>
    <row r="16" ht="24" customHeight="1" spans="1:29">
      <c r="A16" s="9">
        <v>11</v>
      </c>
      <c r="B16" s="9"/>
      <c r="C16" s="9"/>
      <c r="D16" s="9"/>
      <c r="E16" s="9"/>
      <c r="F16" s="9"/>
      <c r="G16" s="9"/>
      <c r="H16" s="9"/>
      <c r="I16" s="9"/>
      <c r="J16" s="9"/>
      <c r="K16" s="28" t="str">
        <f t="shared" si="0"/>
        <v/>
      </c>
      <c r="L16" s="9"/>
      <c r="M16" s="9"/>
      <c r="N16" s="9"/>
      <c r="O16" s="9"/>
      <c r="P16" s="9"/>
      <c r="Q16" s="9"/>
      <c r="R16" s="28" t="str">
        <f t="shared" si="1"/>
        <v/>
      </c>
      <c r="S16" s="9"/>
      <c r="T16" s="9"/>
      <c r="U16" s="9"/>
      <c r="V16" s="28" t="str">
        <f t="shared" si="2"/>
        <v/>
      </c>
      <c r="W16" s="9"/>
      <c r="X16" s="28"/>
      <c r="Y16" s="28"/>
      <c r="Z16" s="9" t="str">
        <f t="shared" si="3"/>
        <v/>
      </c>
      <c r="AA16" s="9"/>
      <c r="AB16" s="9"/>
      <c r="AC16" s="28" t="str">
        <f t="shared" si="4"/>
        <v/>
      </c>
    </row>
    <row r="17" ht="24" customHeight="1" spans="1:29">
      <c r="A17" s="9">
        <v>12</v>
      </c>
      <c r="B17" s="9"/>
      <c r="C17" s="9"/>
      <c r="D17" s="9"/>
      <c r="E17" s="9"/>
      <c r="F17" s="9"/>
      <c r="G17" s="9"/>
      <c r="H17" s="9"/>
      <c r="I17" s="9"/>
      <c r="J17" s="9"/>
      <c r="K17" s="28" t="str">
        <f t="shared" si="0"/>
        <v/>
      </c>
      <c r="L17" s="9"/>
      <c r="M17" s="9"/>
      <c r="N17" s="9"/>
      <c r="O17" s="9"/>
      <c r="P17" s="9"/>
      <c r="Q17" s="9"/>
      <c r="R17" s="28" t="str">
        <f t="shared" si="1"/>
        <v/>
      </c>
      <c r="S17" s="9"/>
      <c r="T17" s="9"/>
      <c r="U17" s="9"/>
      <c r="V17" s="28" t="str">
        <f t="shared" si="2"/>
        <v/>
      </c>
      <c r="W17" s="9"/>
      <c r="X17" s="28"/>
      <c r="Y17" s="28"/>
      <c r="Z17" s="9" t="str">
        <f t="shared" si="3"/>
        <v/>
      </c>
      <c r="AA17" s="9"/>
      <c r="AB17" s="9"/>
      <c r="AC17" s="28" t="str">
        <f t="shared" si="4"/>
        <v/>
      </c>
    </row>
    <row r="18" ht="24" customHeight="1" spans="1:29">
      <c r="A18" s="9">
        <v>13</v>
      </c>
      <c r="B18" s="9"/>
      <c r="C18" s="9"/>
      <c r="D18" s="9"/>
      <c r="E18" s="9"/>
      <c r="F18" s="9"/>
      <c r="G18" s="9"/>
      <c r="H18" s="9"/>
      <c r="I18" s="9"/>
      <c r="J18" s="9"/>
      <c r="K18" s="28" t="str">
        <f t="shared" si="0"/>
        <v/>
      </c>
      <c r="L18" s="9"/>
      <c r="M18" s="9"/>
      <c r="N18" s="9"/>
      <c r="O18" s="9"/>
      <c r="P18" s="9"/>
      <c r="Q18" s="9"/>
      <c r="R18" s="28" t="str">
        <f t="shared" si="1"/>
        <v/>
      </c>
      <c r="S18" s="9"/>
      <c r="T18" s="9"/>
      <c r="U18" s="9"/>
      <c r="V18" s="28" t="str">
        <f t="shared" si="2"/>
        <v/>
      </c>
      <c r="W18" s="9"/>
      <c r="X18" s="28"/>
      <c r="Y18" s="28"/>
      <c r="Z18" s="9" t="str">
        <f t="shared" si="3"/>
        <v/>
      </c>
      <c r="AA18" s="9"/>
      <c r="AB18" s="9"/>
      <c r="AC18" s="28" t="str">
        <f t="shared" si="4"/>
        <v/>
      </c>
    </row>
    <row r="19" ht="24" customHeight="1" spans="1:29">
      <c r="A19" s="9">
        <v>14</v>
      </c>
      <c r="B19" s="9"/>
      <c r="C19" s="9"/>
      <c r="D19" s="9"/>
      <c r="E19" s="9"/>
      <c r="F19" s="9"/>
      <c r="G19" s="9"/>
      <c r="H19" s="9"/>
      <c r="I19" s="9"/>
      <c r="J19" s="9"/>
      <c r="K19" s="28" t="str">
        <f t="shared" si="0"/>
        <v/>
      </c>
      <c r="L19" s="9"/>
      <c r="M19" s="9"/>
      <c r="N19" s="9"/>
      <c r="O19" s="9"/>
      <c r="P19" s="9"/>
      <c r="Q19" s="9"/>
      <c r="R19" s="28" t="str">
        <f t="shared" si="1"/>
        <v/>
      </c>
      <c r="S19" s="9"/>
      <c r="T19" s="9"/>
      <c r="U19" s="9"/>
      <c r="V19" s="28" t="str">
        <f t="shared" si="2"/>
        <v/>
      </c>
      <c r="W19" s="9"/>
      <c r="X19" s="28"/>
      <c r="Y19" s="28"/>
      <c r="Z19" s="9" t="str">
        <f t="shared" si="3"/>
        <v/>
      </c>
      <c r="AA19" s="9"/>
      <c r="AB19" s="9"/>
      <c r="AC19" s="28" t="str">
        <f t="shared" si="4"/>
        <v/>
      </c>
    </row>
    <row r="20" ht="24" customHeight="1" spans="1:29">
      <c r="A20" s="9">
        <v>15</v>
      </c>
      <c r="B20" s="9"/>
      <c r="C20" s="9"/>
      <c r="D20" s="9"/>
      <c r="E20" s="9"/>
      <c r="F20" s="9"/>
      <c r="G20" s="9"/>
      <c r="H20" s="9"/>
      <c r="I20" s="9"/>
      <c r="J20" s="9"/>
      <c r="K20" s="28" t="str">
        <f t="shared" si="0"/>
        <v/>
      </c>
      <c r="L20" s="9"/>
      <c r="M20" s="9"/>
      <c r="N20" s="9"/>
      <c r="O20" s="9"/>
      <c r="P20" s="9"/>
      <c r="Q20" s="9"/>
      <c r="R20" s="28" t="str">
        <f t="shared" si="1"/>
        <v/>
      </c>
      <c r="S20" s="9"/>
      <c r="T20" s="9"/>
      <c r="U20" s="9"/>
      <c r="V20" s="28" t="str">
        <f t="shared" si="2"/>
        <v/>
      </c>
      <c r="W20" s="9"/>
      <c r="X20" s="28"/>
      <c r="Y20" s="28"/>
      <c r="Z20" s="9" t="str">
        <f t="shared" si="3"/>
        <v/>
      </c>
      <c r="AA20" s="9"/>
      <c r="AB20" s="9"/>
      <c r="AC20" s="28" t="str">
        <f t="shared" si="4"/>
        <v/>
      </c>
    </row>
    <row r="21" ht="24" customHeight="1" spans="1:29">
      <c r="A21" s="9">
        <v>16</v>
      </c>
      <c r="B21" s="9"/>
      <c r="C21" s="9"/>
      <c r="D21" s="9"/>
      <c r="E21" s="9"/>
      <c r="F21" s="9"/>
      <c r="G21" s="9"/>
      <c r="H21" s="9"/>
      <c r="I21" s="9"/>
      <c r="J21" s="9"/>
      <c r="K21" s="28" t="str">
        <f t="shared" si="0"/>
        <v/>
      </c>
      <c r="L21" s="9"/>
      <c r="M21" s="9"/>
      <c r="N21" s="9"/>
      <c r="O21" s="9"/>
      <c r="P21" s="9"/>
      <c r="Q21" s="9"/>
      <c r="R21" s="28" t="str">
        <f t="shared" si="1"/>
        <v/>
      </c>
      <c r="S21" s="9"/>
      <c r="T21" s="9"/>
      <c r="U21" s="9"/>
      <c r="V21" s="28" t="str">
        <f t="shared" si="2"/>
        <v/>
      </c>
      <c r="W21" s="9"/>
      <c r="X21" s="28"/>
      <c r="Y21" s="28"/>
      <c r="Z21" s="9" t="str">
        <f t="shared" si="3"/>
        <v/>
      </c>
      <c r="AA21" s="9"/>
      <c r="AB21" s="9"/>
      <c r="AC21" s="28" t="str">
        <f t="shared" si="4"/>
        <v/>
      </c>
    </row>
    <row r="22" ht="24" customHeight="1" spans="1:29">
      <c r="A22" s="9">
        <v>17</v>
      </c>
      <c r="B22" s="9"/>
      <c r="C22" s="9"/>
      <c r="D22" s="9"/>
      <c r="E22" s="9"/>
      <c r="F22" s="9"/>
      <c r="G22" s="9"/>
      <c r="H22" s="9"/>
      <c r="I22" s="9"/>
      <c r="J22" s="9"/>
      <c r="K22" s="28" t="str">
        <f t="shared" si="0"/>
        <v/>
      </c>
      <c r="L22" s="9"/>
      <c r="M22" s="9"/>
      <c r="N22" s="9"/>
      <c r="O22" s="9"/>
      <c r="P22" s="9"/>
      <c r="Q22" s="9"/>
      <c r="R22" s="28" t="str">
        <f t="shared" si="1"/>
        <v/>
      </c>
      <c r="S22" s="9"/>
      <c r="T22" s="9"/>
      <c r="U22" s="9"/>
      <c r="V22" s="28" t="str">
        <f t="shared" si="2"/>
        <v/>
      </c>
      <c r="W22" s="9"/>
      <c r="X22" s="28"/>
      <c r="Y22" s="28"/>
      <c r="Z22" s="9" t="str">
        <f t="shared" si="3"/>
        <v/>
      </c>
      <c r="AA22" s="9"/>
      <c r="AB22" s="9"/>
      <c r="AC22" s="28" t="str">
        <f t="shared" si="4"/>
        <v/>
      </c>
    </row>
    <row r="23" ht="24" customHeight="1" spans="1:29">
      <c r="A23" s="9">
        <v>18</v>
      </c>
      <c r="B23" s="9"/>
      <c r="C23" s="9"/>
      <c r="D23" s="9"/>
      <c r="E23" s="9"/>
      <c r="F23" s="9"/>
      <c r="G23" s="9"/>
      <c r="H23" s="9"/>
      <c r="I23" s="9"/>
      <c r="J23" s="9"/>
      <c r="K23" s="28" t="str">
        <f t="shared" si="0"/>
        <v/>
      </c>
      <c r="L23" s="9"/>
      <c r="M23" s="9"/>
      <c r="N23" s="9"/>
      <c r="O23" s="9"/>
      <c r="P23" s="9"/>
      <c r="Q23" s="9"/>
      <c r="R23" s="28" t="str">
        <f t="shared" si="1"/>
        <v/>
      </c>
      <c r="S23" s="9"/>
      <c r="T23" s="9"/>
      <c r="U23" s="9"/>
      <c r="V23" s="28" t="str">
        <f t="shared" si="2"/>
        <v/>
      </c>
      <c r="W23" s="9"/>
      <c r="X23" s="28"/>
      <c r="Y23" s="28"/>
      <c r="Z23" s="9" t="str">
        <f t="shared" si="3"/>
        <v/>
      </c>
      <c r="AA23" s="9"/>
      <c r="AB23" s="9"/>
      <c r="AC23" s="28" t="str">
        <f t="shared" si="4"/>
        <v/>
      </c>
    </row>
    <row r="24" ht="24" customHeight="1" spans="1:29">
      <c r="A24" s="9">
        <v>19</v>
      </c>
      <c r="B24" s="9"/>
      <c r="C24" s="9"/>
      <c r="D24" s="9"/>
      <c r="E24" s="9"/>
      <c r="F24" s="9"/>
      <c r="G24" s="9"/>
      <c r="H24" s="9"/>
      <c r="I24" s="9"/>
      <c r="J24" s="9"/>
      <c r="K24" s="28" t="str">
        <f t="shared" si="0"/>
        <v/>
      </c>
      <c r="L24" s="9"/>
      <c r="M24" s="9"/>
      <c r="N24" s="9"/>
      <c r="O24" s="9"/>
      <c r="P24" s="9"/>
      <c r="Q24" s="9"/>
      <c r="R24" s="28" t="str">
        <f t="shared" si="1"/>
        <v/>
      </c>
      <c r="S24" s="9"/>
      <c r="T24" s="9"/>
      <c r="U24" s="9"/>
      <c r="V24" s="28" t="str">
        <f t="shared" si="2"/>
        <v/>
      </c>
      <c r="W24" s="9"/>
      <c r="X24" s="28"/>
      <c r="Y24" s="28"/>
      <c r="Z24" s="9" t="str">
        <f t="shared" si="3"/>
        <v/>
      </c>
      <c r="AA24" s="9"/>
      <c r="AB24" s="9"/>
      <c r="AC24" s="28" t="str">
        <f t="shared" si="4"/>
        <v/>
      </c>
    </row>
    <row r="25" ht="24" customHeight="1" spans="1:29">
      <c r="A25" s="9">
        <v>20</v>
      </c>
      <c r="B25" s="9"/>
      <c r="C25" s="9"/>
      <c r="D25" s="9"/>
      <c r="E25" s="9"/>
      <c r="F25" s="9"/>
      <c r="G25" s="9"/>
      <c r="H25" s="9"/>
      <c r="I25" s="9"/>
      <c r="J25" s="9"/>
      <c r="K25" s="28" t="str">
        <f t="shared" si="0"/>
        <v/>
      </c>
      <c r="L25" s="9"/>
      <c r="M25" s="9"/>
      <c r="N25" s="9"/>
      <c r="O25" s="9"/>
      <c r="P25" s="9"/>
      <c r="Q25" s="9"/>
      <c r="R25" s="28" t="str">
        <f t="shared" si="1"/>
        <v/>
      </c>
      <c r="S25" s="9"/>
      <c r="T25" s="9"/>
      <c r="U25" s="9"/>
      <c r="V25" s="28" t="str">
        <f t="shared" si="2"/>
        <v/>
      </c>
      <c r="W25" s="9"/>
      <c r="X25" s="28"/>
      <c r="Y25" s="28"/>
      <c r="Z25" s="9" t="str">
        <f t="shared" si="3"/>
        <v/>
      </c>
      <c r="AA25" s="9"/>
      <c r="AB25" s="9"/>
      <c r="AC25" s="28" t="str">
        <f t="shared" si="4"/>
        <v/>
      </c>
    </row>
    <row r="26" ht="24" customHeight="1" spans="1:29">
      <c r="A26" s="9">
        <v>21</v>
      </c>
      <c r="B26" s="9"/>
      <c r="C26" s="9"/>
      <c r="D26" s="9"/>
      <c r="E26" s="9"/>
      <c r="F26" s="9"/>
      <c r="G26" s="9"/>
      <c r="H26" s="9"/>
      <c r="I26" s="9"/>
      <c r="J26" s="9"/>
      <c r="K26" s="28" t="str">
        <f t="shared" si="0"/>
        <v/>
      </c>
      <c r="L26" s="9"/>
      <c r="M26" s="9"/>
      <c r="N26" s="9"/>
      <c r="O26" s="9"/>
      <c r="P26" s="9"/>
      <c r="Q26" s="9"/>
      <c r="R26" s="28" t="str">
        <f t="shared" si="1"/>
        <v/>
      </c>
      <c r="S26" s="9"/>
      <c r="T26" s="9"/>
      <c r="U26" s="9"/>
      <c r="V26" s="28" t="str">
        <f t="shared" si="2"/>
        <v/>
      </c>
      <c r="W26" s="9"/>
      <c r="X26" s="28"/>
      <c r="Y26" s="28"/>
      <c r="Z26" s="9" t="str">
        <f t="shared" si="3"/>
        <v/>
      </c>
      <c r="AA26" s="9"/>
      <c r="AB26" s="9"/>
      <c r="AC26" s="28" t="str">
        <f t="shared" si="4"/>
        <v/>
      </c>
    </row>
    <row r="27" ht="24" customHeight="1" spans="1:29">
      <c r="A27" s="9">
        <v>22</v>
      </c>
      <c r="B27" s="9"/>
      <c r="C27" s="9"/>
      <c r="D27" s="9"/>
      <c r="E27" s="9"/>
      <c r="F27" s="9"/>
      <c r="G27" s="9"/>
      <c r="H27" s="9"/>
      <c r="I27" s="9"/>
      <c r="J27" s="9"/>
      <c r="K27" s="28" t="str">
        <f t="shared" si="0"/>
        <v/>
      </c>
      <c r="L27" s="9"/>
      <c r="M27" s="9"/>
      <c r="N27" s="9"/>
      <c r="O27" s="9"/>
      <c r="P27" s="9"/>
      <c r="Q27" s="9"/>
      <c r="R27" s="28" t="str">
        <f t="shared" si="1"/>
        <v/>
      </c>
      <c r="S27" s="9"/>
      <c r="T27" s="9"/>
      <c r="U27" s="9"/>
      <c r="V27" s="28" t="str">
        <f t="shared" si="2"/>
        <v/>
      </c>
      <c r="W27" s="9"/>
      <c r="X27" s="28"/>
      <c r="Y27" s="28"/>
      <c r="Z27" s="9" t="str">
        <f t="shared" si="3"/>
        <v/>
      </c>
      <c r="AA27" s="9"/>
      <c r="AB27" s="9"/>
      <c r="AC27" s="28" t="str">
        <f t="shared" si="4"/>
        <v/>
      </c>
    </row>
    <row r="28" ht="24" customHeight="1" spans="1:29">
      <c r="A28" s="9">
        <v>23</v>
      </c>
      <c r="B28" s="9"/>
      <c r="C28" s="9"/>
      <c r="D28" s="9"/>
      <c r="E28" s="9"/>
      <c r="F28" s="9"/>
      <c r="G28" s="9"/>
      <c r="H28" s="9"/>
      <c r="I28" s="9"/>
      <c r="J28" s="9"/>
      <c r="K28" s="28" t="str">
        <f t="shared" si="0"/>
        <v/>
      </c>
      <c r="L28" s="9"/>
      <c r="M28" s="9"/>
      <c r="N28" s="9"/>
      <c r="O28" s="9"/>
      <c r="P28" s="9"/>
      <c r="Q28" s="9"/>
      <c r="R28" s="28" t="str">
        <f t="shared" si="1"/>
        <v/>
      </c>
      <c r="S28" s="9"/>
      <c r="T28" s="9"/>
      <c r="U28" s="9"/>
      <c r="V28" s="28" t="str">
        <f t="shared" si="2"/>
        <v/>
      </c>
      <c r="W28" s="9"/>
      <c r="X28" s="28"/>
      <c r="Y28" s="28"/>
      <c r="Z28" s="9" t="str">
        <f t="shared" si="3"/>
        <v/>
      </c>
      <c r="AA28" s="9"/>
      <c r="AB28" s="9"/>
      <c r="AC28" s="28" t="str">
        <f t="shared" si="4"/>
        <v/>
      </c>
    </row>
    <row r="29" ht="24" customHeight="1" spans="1:29">
      <c r="A29" s="9">
        <v>24</v>
      </c>
      <c r="B29" s="9"/>
      <c r="C29" s="9"/>
      <c r="D29" s="9"/>
      <c r="E29" s="9"/>
      <c r="F29" s="9"/>
      <c r="G29" s="9"/>
      <c r="H29" s="9"/>
      <c r="I29" s="9"/>
      <c r="J29" s="9"/>
      <c r="K29" s="28" t="str">
        <f t="shared" si="0"/>
        <v/>
      </c>
      <c r="L29" s="9"/>
      <c r="M29" s="9"/>
      <c r="N29" s="9"/>
      <c r="O29" s="9"/>
      <c r="P29" s="9"/>
      <c r="Q29" s="9"/>
      <c r="R29" s="28" t="str">
        <f t="shared" si="1"/>
        <v/>
      </c>
      <c r="S29" s="9"/>
      <c r="T29" s="9"/>
      <c r="U29" s="9"/>
      <c r="V29" s="28" t="str">
        <f t="shared" si="2"/>
        <v/>
      </c>
      <c r="W29" s="9"/>
      <c r="X29" s="28"/>
      <c r="Y29" s="28"/>
      <c r="Z29" s="9" t="str">
        <f t="shared" si="3"/>
        <v/>
      </c>
      <c r="AA29" s="9"/>
      <c r="AB29" s="9"/>
      <c r="AC29" s="28" t="str">
        <f t="shared" si="4"/>
        <v/>
      </c>
    </row>
    <row r="30" ht="24" customHeight="1" spans="1:29">
      <c r="A30" s="9">
        <v>25</v>
      </c>
      <c r="B30" s="9"/>
      <c r="C30" s="9"/>
      <c r="D30" s="9"/>
      <c r="E30" s="9"/>
      <c r="F30" s="9"/>
      <c r="G30" s="9"/>
      <c r="H30" s="9"/>
      <c r="I30" s="9"/>
      <c r="J30" s="9"/>
      <c r="K30" s="28" t="str">
        <f t="shared" si="0"/>
        <v/>
      </c>
      <c r="L30" s="9"/>
      <c r="M30" s="9"/>
      <c r="N30" s="9"/>
      <c r="O30" s="9"/>
      <c r="P30" s="9"/>
      <c r="Q30" s="9"/>
      <c r="R30" s="28" t="str">
        <f t="shared" si="1"/>
        <v/>
      </c>
      <c r="S30" s="9"/>
      <c r="T30" s="9"/>
      <c r="U30" s="9"/>
      <c r="V30" s="28" t="str">
        <f t="shared" si="2"/>
        <v/>
      </c>
      <c r="W30" s="9"/>
      <c r="X30" s="28"/>
      <c r="Y30" s="28"/>
      <c r="Z30" s="9" t="str">
        <f t="shared" si="3"/>
        <v/>
      </c>
      <c r="AA30" s="9"/>
      <c r="AB30" s="9"/>
      <c r="AC30" s="28" t="str">
        <f t="shared" si="4"/>
        <v/>
      </c>
    </row>
    <row r="32" spans="1:29">
      <c r="A32" s="10" t="s">
        <v>44</v>
      </c>
    </row>
    <row r="33" ht="20" customHeight="1" spans="1:1">
      <c r="A33" s="11" t="s">
        <v>45</v>
      </c>
    </row>
    <row r="34" ht="20" customHeight="1" spans="1:1">
      <c r="A34" s="11" t="s">
        <v>46</v>
      </c>
    </row>
    <row r="35" ht="20" customHeight="1" spans="1:1">
      <c r="A35" s="11" t="s">
        <v>47</v>
      </c>
    </row>
    <row r="36" ht="20" customHeight="1" spans="1:1">
      <c r="A36" s="11" t="s">
        <v>48</v>
      </c>
    </row>
    <row r="37" ht="20" customHeight="1" spans="1:1">
      <c r="A37" s="11" t="s">
        <v>49</v>
      </c>
    </row>
    <row r="38" ht="20" customHeight="1" spans="1:1">
      <c r="A38" s="11" t="s">
        <v>50</v>
      </c>
    </row>
    <row r="39" ht="20" customHeight="1" spans="1:1">
      <c r="A39" s="11" t="s">
        <v>51</v>
      </c>
    </row>
  </sheetData>
  <mergeCells count="15">
    <mergeCell ref="A1:AB1"/>
    <mergeCell ref="A2:AB2"/>
    <mergeCell ref="A4:G4"/>
    <mergeCell ref="H4:M4"/>
    <mergeCell ref="N4:R4"/>
    <mergeCell ref="S4:W4"/>
    <mergeCell ref="X4:AB4"/>
    <mergeCell ref="A32:AB32"/>
    <mergeCell ref="A33:AB33"/>
    <mergeCell ref="A34:AB34"/>
    <mergeCell ref="A35:AB35"/>
    <mergeCell ref="A36:AB36"/>
    <mergeCell ref="A37:AB37"/>
    <mergeCell ref="A38:AB38"/>
    <mergeCell ref="A39:AB39"/>
  </mergeCells>
  <dataValidations count="3">
    <dataValidation type="list" allowBlank="1" errorTitle="输入错误" error="请选择5个内容方向之一" sqref="E6:E30">
      <formula1>"生活感悟,育儿育己,深度思考,植物美学,追剧观影"</formula1>
    </dataValidation>
    <dataValidation type="list" allowBlank="1" sqref="F6:F30">
      <formula1>"高匹配,中匹配,低匹配"</formula1>
    </dataValidation>
    <dataValidation type="list" allowBlank="1" sqref="G6:G30">
      <formula1>"情绪共鸣,认知启发,实用方法,审美滋养,纯粹记录"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pane ySplit="4" topLeftCell="A5" activePane="bottomLeft" state="frozen"/>
      <selection/>
      <selection pane="bottomLeft" activeCell="A4" sqref="A4:K14"/>
    </sheetView>
  </sheetViews>
  <sheetFormatPr defaultColWidth="9" defaultRowHeight="16.8"/>
  <cols>
    <col min="1" max="1" width="12" customWidth="1"/>
    <col min="2" max="2" width="13" customWidth="1"/>
    <col min="3" max="3" width="11" customWidth="1"/>
    <col min="4" max="4" width="8" customWidth="1"/>
    <col min="5" max="7" width="11" customWidth="1"/>
    <col min="8" max="8" width="12" customWidth="1"/>
    <col min="9" max="10" width="14" customWidth="1"/>
    <col min="11" max="11" width="30" customWidth="1"/>
  </cols>
  <sheetData>
    <row r="1" ht="35" customHeight="1" spans="1:11">
      <c r="A1" s="1" t="s">
        <v>52</v>
      </c>
    </row>
    <row r="2" ht="22" customHeight="1" spans="1:11">
      <c r="A2" s="2" t="s">
        <v>53</v>
      </c>
    </row>
    <row r="4" ht="30" customHeight="1" spans="1:11">
      <c r="A4" s="3" t="s">
        <v>11</v>
      </c>
      <c r="B4" s="3" t="s">
        <v>13</v>
      </c>
      <c r="C4" s="3" t="s">
        <v>12</v>
      </c>
      <c r="D4" s="3" t="s">
        <v>54</v>
      </c>
      <c r="E4" s="4" t="s">
        <v>55</v>
      </c>
      <c r="F4" s="5" t="s">
        <v>56</v>
      </c>
      <c r="G4" s="6" t="s">
        <v>57</v>
      </c>
      <c r="H4" s="7" t="s">
        <v>58</v>
      </c>
      <c r="I4" s="7" t="s">
        <v>59</v>
      </c>
      <c r="J4" s="7" t="s">
        <v>60</v>
      </c>
      <c r="K4" s="15" t="s">
        <v>61</v>
      </c>
    </row>
    <row r="5" ht="28" customHeight="1" spans="1:11">
      <c r="A5" s="8" t="s">
        <v>62</v>
      </c>
      <c r="B5" s="8" t="s">
        <v>63</v>
      </c>
      <c r="C5" s="8" t="s">
        <v>38</v>
      </c>
      <c r="D5" s="8">
        <v>3</v>
      </c>
      <c r="E5" s="8" t="s">
        <v>64</v>
      </c>
      <c r="F5" s="8" t="s">
        <v>65</v>
      </c>
      <c r="G5" s="8" t="s">
        <v>66</v>
      </c>
      <c r="H5" s="8" t="s">
        <v>67</v>
      </c>
      <c r="I5" s="8" t="s">
        <v>68</v>
      </c>
      <c r="J5" s="8" t="s">
        <v>69</v>
      </c>
      <c r="K5" s="8" t="s">
        <v>70</v>
      </c>
    </row>
    <row r="6" ht="28" customHeight="1" spans="1:11">
      <c r="A6" s="8" t="s">
        <v>62</v>
      </c>
      <c r="B6" s="8" t="s">
        <v>71</v>
      </c>
      <c r="C6" s="8" t="s">
        <v>72</v>
      </c>
      <c r="D6" s="8">
        <v>2</v>
      </c>
      <c r="E6" s="8" t="s">
        <v>73</v>
      </c>
      <c r="F6" s="8" t="s">
        <v>74</v>
      </c>
      <c r="G6" s="8" t="s">
        <v>75</v>
      </c>
      <c r="H6" s="8" t="s">
        <v>68</v>
      </c>
      <c r="I6" s="8" t="s">
        <v>65</v>
      </c>
      <c r="J6" s="8" t="s">
        <v>76</v>
      </c>
      <c r="K6" s="8" t="s">
        <v>77</v>
      </c>
    </row>
    <row r="7" ht="28" customHeight="1" spans="1:11">
      <c r="A7" s="8" t="s">
        <v>78</v>
      </c>
      <c r="B7" s="8" t="s">
        <v>63</v>
      </c>
      <c r="C7" s="8" t="s">
        <v>38</v>
      </c>
      <c r="D7" s="8">
        <v>5</v>
      </c>
      <c r="E7" s="8" t="s">
        <v>79</v>
      </c>
      <c r="F7" s="8" t="s">
        <v>80</v>
      </c>
      <c r="G7" s="8" t="s">
        <v>81</v>
      </c>
      <c r="H7" s="8" t="s">
        <v>82</v>
      </c>
      <c r="I7" s="8" t="s">
        <v>83</v>
      </c>
      <c r="J7" s="8" t="s">
        <v>84</v>
      </c>
      <c r="K7" s="8" t="s">
        <v>85</v>
      </c>
    </row>
    <row r="8" ht="28" customHeight="1" spans="1:11">
      <c r="A8" s="8" t="s">
        <v>78</v>
      </c>
      <c r="B8" s="8" t="s">
        <v>86</v>
      </c>
      <c r="C8" s="8" t="s">
        <v>38</v>
      </c>
      <c r="D8" s="8">
        <v>4</v>
      </c>
      <c r="E8" s="8" t="s">
        <v>87</v>
      </c>
      <c r="F8" s="8" t="s">
        <v>88</v>
      </c>
      <c r="G8" s="8" t="s">
        <v>89</v>
      </c>
      <c r="H8" s="8" t="s">
        <v>90</v>
      </c>
      <c r="I8" s="8" t="s">
        <v>91</v>
      </c>
      <c r="J8" s="8" t="s">
        <v>69</v>
      </c>
      <c r="K8" s="8" t="s">
        <v>92</v>
      </c>
    </row>
    <row r="9" ht="28" customHeight="1" spans="1:11">
      <c r="A9" s="8" t="s">
        <v>93</v>
      </c>
      <c r="B9" s="8" t="s">
        <v>71</v>
      </c>
      <c r="C9" s="8" t="s">
        <v>72</v>
      </c>
      <c r="D9" s="8">
        <v>4</v>
      </c>
      <c r="E9" s="8" t="s">
        <v>89</v>
      </c>
      <c r="F9" s="8" t="s">
        <v>94</v>
      </c>
      <c r="G9" s="8" t="s">
        <v>95</v>
      </c>
      <c r="H9" s="8" t="s">
        <v>80</v>
      </c>
      <c r="I9" s="8" t="s">
        <v>96</v>
      </c>
      <c r="J9" s="8" t="s">
        <v>97</v>
      </c>
      <c r="K9" s="8" t="s">
        <v>98</v>
      </c>
    </row>
    <row r="10" ht="28" customHeight="1" spans="1:11">
      <c r="A10" s="8" t="s">
        <v>93</v>
      </c>
      <c r="B10" s="8" t="s">
        <v>63</v>
      </c>
      <c r="C10" s="8" t="s">
        <v>38</v>
      </c>
      <c r="D10" s="8">
        <v>2</v>
      </c>
      <c r="E10" s="8" t="s">
        <v>99</v>
      </c>
      <c r="F10" s="8" t="s">
        <v>100</v>
      </c>
      <c r="G10" s="8" t="s">
        <v>101</v>
      </c>
      <c r="H10" s="8" t="s">
        <v>83</v>
      </c>
      <c r="I10" s="8" t="s">
        <v>80</v>
      </c>
      <c r="J10" s="8" t="s">
        <v>102</v>
      </c>
      <c r="K10" s="8" t="s">
        <v>103</v>
      </c>
    </row>
    <row r="11" ht="28" customHeight="1" spans="1:11">
      <c r="A11" s="8" t="s">
        <v>37</v>
      </c>
      <c r="B11" s="8" t="s">
        <v>39</v>
      </c>
      <c r="C11" s="8" t="s">
        <v>38</v>
      </c>
      <c r="D11" s="8">
        <v>6</v>
      </c>
      <c r="E11" s="8" t="s">
        <v>104</v>
      </c>
      <c r="F11" s="8" t="s">
        <v>105</v>
      </c>
      <c r="G11" s="8" t="s">
        <v>106</v>
      </c>
      <c r="H11" s="8" t="s">
        <v>107</v>
      </c>
      <c r="I11" s="8" t="s">
        <v>42</v>
      </c>
      <c r="J11" s="8" t="s">
        <v>108</v>
      </c>
      <c r="K11" s="8" t="s">
        <v>109</v>
      </c>
    </row>
    <row r="12" ht="28" customHeight="1" spans="1:11">
      <c r="A12" s="8" t="s">
        <v>37</v>
      </c>
      <c r="B12" s="8" t="s">
        <v>71</v>
      </c>
      <c r="C12" s="8" t="s">
        <v>72</v>
      </c>
      <c r="D12" s="8">
        <v>2</v>
      </c>
      <c r="E12" s="8" t="s">
        <v>110</v>
      </c>
      <c r="F12" s="8" t="s">
        <v>111</v>
      </c>
      <c r="G12" s="8" t="s">
        <v>112</v>
      </c>
      <c r="H12" s="8" t="s">
        <v>91</v>
      </c>
      <c r="I12" s="8" t="s">
        <v>100</v>
      </c>
      <c r="J12" s="8" t="s">
        <v>113</v>
      </c>
      <c r="K12" s="8" t="s">
        <v>114</v>
      </c>
    </row>
    <row r="13" ht="28" customHeight="1" spans="1:11">
      <c r="A13" s="8" t="s">
        <v>115</v>
      </c>
      <c r="B13" s="8" t="s">
        <v>116</v>
      </c>
      <c r="C13" s="8" t="s">
        <v>117</v>
      </c>
      <c r="D13" s="8">
        <v>3</v>
      </c>
      <c r="E13" s="8" t="s">
        <v>118</v>
      </c>
      <c r="F13" s="8" t="s">
        <v>119</v>
      </c>
      <c r="G13" s="8" t="s">
        <v>102</v>
      </c>
      <c r="H13" s="8" t="s">
        <v>65</v>
      </c>
      <c r="I13" s="8" t="s">
        <v>94</v>
      </c>
      <c r="J13" s="8" t="s">
        <v>120</v>
      </c>
      <c r="K13" s="8" t="s">
        <v>121</v>
      </c>
    </row>
    <row r="14" ht="28" customHeight="1" spans="1:11">
      <c r="A14" s="8" t="s">
        <v>115</v>
      </c>
      <c r="B14" s="8" t="s">
        <v>71</v>
      </c>
      <c r="C14" s="8" t="s">
        <v>72</v>
      </c>
      <c r="D14" s="8">
        <v>2</v>
      </c>
      <c r="E14" s="8" t="s">
        <v>122</v>
      </c>
      <c r="F14" s="8" t="s">
        <v>123</v>
      </c>
      <c r="G14" s="8" t="s">
        <v>84</v>
      </c>
      <c r="H14" s="8" t="s">
        <v>124</v>
      </c>
      <c r="I14" s="8" t="s">
        <v>74</v>
      </c>
      <c r="J14" s="8" t="s">
        <v>125</v>
      </c>
      <c r="K14" s="8" t="s">
        <v>126</v>
      </c>
    </row>
    <row r="15" ht="24" customHeight="1" spans="1:11">
      <c r="A15" s="9" t="s">
        <v>40</v>
      </c>
      <c r="B15" s="9" t="s">
        <v>40</v>
      </c>
      <c r="C15" s="9" t="s">
        <v>40</v>
      </c>
      <c r="D15" s="9" t="s">
        <v>40</v>
      </c>
      <c r="E15" s="9" t="s">
        <v>40</v>
      </c>
      <c r="F15" s="9" t="s">
        <v>40</v>
      </c>
      <c r="G15" s="9" t="s">
        <v>40</v>
      </c>
      <c r="H15" s="9" t="s">
        <v>40</v>
      </c>
      <c r="I15" s="9" t="s">
        <v>40</v>
      </c>
      <c r="J15" s="9" t="s">
        <v>40</v>
      </c>
      <c r="K15" s="9" t="s">
        <v>40</v>
      </c>
    </row>
    <row r="16" ht="24" customHeight="1" spans="1:11">
      <c r="A16" s="9" t="s">
        <v>40</v>
      </c>
      <c r="B16" s="9" t="s">
        <v>40</v>
      </c>
      <c r="C16" s="9" t="s">
        <v>40</v>
      </c>
      <c r="D16" s="9" t="s">
        <v>40</v>
      </c>
      <c r="E16" s="9" t="s">
        <v>40</v>
      </c>
      <c r="F16" s="9" t="s">
        <v>40</v>
      </c>
      <c r="G16" s="9" t="s">
        <v>40</v>
      </c>
      <c r="H16" s="9" t="s">
        <v>40</v>
      </c>
      <c r="I16" s="9" t="s">
        <v>40</v>
      </c>
      <c r="J16" s="9" t="s">
        <v>40</v>
      </c>
      <c r="K16" s="9" t="s">
        <v>40</v>
      </c>
    </row>
    <row r="17" ht="24" customHeight="1" spans="1:11">
      <c r="A17" s="9" t="s">
        <v>40</v>
      </c>
      <c r="B17" s="9" t="s">
        <v>40</v>
      </c>
      <c r="C17" s="9" t="s">
        <v>40</v>
      </c>
      <c r="D17" s="9" t="s">
        <v>40</v>
      </c>
      <c r="E17" s="9" t="s">
        <v>40</v>
      </c>
      <c r="F17" s="9" t="s">
        <v>40</v>
      </c>
      <c r="G17" s="9" t="s">
        <v>40</v>
      </c>
      <c r="H17" s="9" t="s">
        <v>40</v>
      </c>
      <c r="I17" s="9" t="s">
        <v>40</v>
      </c>
      <c r="J17" s="9" t="s">
        <v>40</v>
      </c>
      <c r="K17" s="9" t="s">
        <v>40</v>
      </c>
    </row>
    <row r="18" ht="24" customHeight="1" spans="1:11">
      <c r="A18" s="9" t="s">
        <v>40</v>
      </c>
      <c r="B18" s="9" t="s">
        <v>40</v>
      </c>
      <c r="C18" s="9" t="s">
        <v>40</v>
      </c>
      <c r="D18" s="9" t="s">
        <v>40</v>
      </c>
      <c r="E18" s="9" t="s">
        <v>40</v>
      </c>
      <c r="F18" s="9" t="s">
        <v>40</v>
      </c>
      <c r="G18" s="9" t="s">
        <v>40</v>
      </c>
      <c r="H18" s="9" t="s">
        <v>40</v>
      </c>
      <c r="I18" s="9" t="s">
        <v>40</v>
      </c>
      <c r="J18" s="9" t="s">
        <v>40</v>
      </c>
      <c r="K18" s="9" t="s">
        <v>40</v>
      </c>
    </row>
    <row r="19" ht="24" customHeight="1" spans="1:11">
      <c r="A19" s="9" t="s">
        <v>40</v>
      </c>
      <c r="B19" s="9" t="s">
        <v>40</v>
      </c>
      <c r="C19" s="9" t="s">
        <v>40</v>
      </c>
      <c r="D19" s="9" t="s">
        <v>40</v>
      </c>
      <c r="E19" s="9" t="s">
        <v>40</v>
      </c>
      <c r="F19" s="9" t="s">
        <v>40</v>
      </c>
      <c r="G19" s="9" t="s">
        <v>40</v>
      </c>
      <c r="H19" s="9" t="s">
        <v>40</v>
      </c>
      <c r="I19" s="9" t="s">
        <v>40</v>
      </c>
      <c r="J19" s="9" t="s">
        <v>40</v>
      </c>
      <c r="K19" s="9" t="s">
        <v>40</v>
      </c>
    </row>
    <row r="20" ht="24" customHeight="1" spans="1:11">
      <c r="A20" s="9" t="s">
        <v>40</v>
      </c>
      <c r="B20" s="9" t="s">
        <v>40</v>
      </c>
      <c r="C20" s="9" t="s">
        <v>40</v>
      </c>
      <c r="D20" s="9" t="s">
        <v>40</v>
      </c>
      <c r="E20" s="9" t="s">
        <v>40</v>
      </c>
      <c r="F20" s="9" t="s">
        <v>40</v>
      </c>
      <c r="G20" s="9" t="s">
        <v>40</v>
      </c>
      <c r="H20" s="9" t="s">
        <v>40</v>
      </c>
      <c r="I20" s="9" t="s">
        <v>40</v>
      </c>
      <c r="J20" s="9" t="s">
        <v>40</v>
      </c>
      <c r="K20" s="9" t="s">
        <v>40</v>
      </c>
    </row>
    <row r="21" ht="24" customHeight="1" spans="1:11">
      <c r="A21" s="9" t="s">
        <v>40</v>
      </c>
      <c r="B21" s="9" t="s">
        <v>40</v>
      </c>
      <c r="C21" s="9" t="s">
        <v>40</v>
      </c>
      <c r="D21" s="9" t="s">
        <v>40</v>
      </c>
      <c r="E21" s="9" t="s">
        <v>40</v>
      </c>
      <c r="F21" s="9" t="s">
        <v>40</v>
      </c>
      <c r="G21" s="9" t="s">
        <v>40</v>
      </c>
      <c r="H21" s="9" t="s">
        <v>40</v>
      </c>
      <c r="I21" s="9" t="s">
        <v>40</v>
      </c>
      <c r="J21" s="9" t="s">
        <v>40</v>
      </c>
      <c r="K21" s="9" t="s">
        <v>40</v>
      </c>
    </row>
    <row r="22" ht="24" customHeight="1" spans="1:11">
      <c r="A22" s="9" t="s">
        <v>40</v>
      </c>
      <c r="B22" s="9" t="s">
        <v>40</v>
      </c>
      <c r="C22" s="9" t="s">
        <v>40</v>
      </c>
      <c r="D22" s="9" t="s">
        <v>40</v>
      </c>
      <c r="E22" s="9" t="s">
        <v>40</v>
      </c>
      <c r="F22" s="9" t="s">
        <v>40</v>
      </c>
      <c r="G22" s="9" t="s">
        <v>40</v>
      </c>
      <c r="H22" s="9" t="s">
        <v>40</v>
      </c>
      <c r="I22" s="9" t="s">
        <v>40</v>
      </c>
      <c r="J22" s="9" t="s">
        <v>40</v>
      </c>
      <c r="K22" s="9" t="s">
        <v>40</v>
      </c>
    </row>
    <row r="23" ht="24" customHeight="1" spans="1:11">
      <c r="A23" s="9" t="s">
        <v>40</v>
      </c>
      <c r="B23" s="9" t="s">
        <v>40</v>
      </c>
      <c r="C23" s="9" t="s">
        <v>40</v>
      </c>
      <c r="D23" s="9" t="s">
        <v>40</v>
      </c>
      <c r="E23" s="9" t="s">
        <v>40</v>
      </c>
      <c r="F23" s="9" t="s">
        <v>40</v>
      </c>
      <c r="G23" s="9" t="s">
        <v>40</v>
      </c>
      <c r="H23" s="9" t="s">
        <v>40</v>
      </c>
      <c r="I23" s="9" t="s">
        <v>40</v>
      </c>
      <c r="J23" s="9" t="s">
        <v>40</v>
      </c>
      <c r="K23" s="9" t="s">
        <v>40</v>
      </c>
    </row>
    <row r="24" ht="24" customHeight="1" spans="1:11">
      <c r="A24" s="9" t="s">
        <v>40</v>
      </c>
      <c r="B24" s="9" t="s">
        <v>40</v>
      </c>
      <c r="C24" s="9" t="s">
        <v>40</v>
      </c>
      <c r="D24" s="9" t="s">
        <v>40</v>
      </c>
      <c r="E24" s="9" t="s">
        <v>40</v>
      </c>
      <c r="F24" s="9" t="s">
        <v>40</v>
      </c>
      <c r="G24" s="9" t="s">
        <v>40</v>
      </c>
      <c r="H24" s="9" t="s">
        <v>40</v>
      </c>
      <c r="I24" s="9" t="s">
        <v>40</v>
      </c>
      <c r="J24" s="9" t="s">
        <v>40</v>
      </c>
      <c r="K24" s="9" t="s">
        <v>40</v>
      </c>
    </row>
    <row r="25" ht="24" customHeight="1" spans="1:11">
      <c r="A25" s="9" t="s">
        <v>40</v>
      </c>
      <c r="B25" s="9" t="s">
        <v>40</v>
      </c>
      <c r="C25" s="9" t="s">
        <v>40</v>
      </c>
      <c r="D25" s="9" t="s">
        <v>40</v>
      </c>
      <c r="E25" s="9" t="s">
        <v>40</v>
      </c>
      <c r="F25" s="9" t="s">
        <v>40</v>
      </c>
      <c r="G25" s="9" t="s">
        <v>40</v>
      </c>
      <c r="H25" s="9" t="s">
        <v>40</v>
      </c>
      <c r="I25" s="9" t="s">
        <v>40</v>
      </c>
      <c r="J25" s="9" t="s">
        <v>40</v>
      </c>
      <c r="K25" s="9" t="s">
        <v>40</v>
      </c>
    </row>
    <row r="28" spans="1:11">
      <c r="A28" s="10" t="s">
        <v>127</v>
      </c>
    </row>
    <row r="29" ht="20" customHeight="1" spans="1:11">
      <c r="A29" s="11" t="s">
        <v>128</v>
      </c>
    </row>
    <row r="30" ht="20" customHeight="1" spans="1:11">
      <c r="A30" s="11" t="s">
        <v>129</v>
      </c>
    </row>
    <row r="31" ht="20" customHeight="1" spans="1:11">
      <c r="A31" s="11" t="s">
        <v>130</v>
      </c>
    </row>
  </sheetData>
  <mergeCells count="6">
    <mergeCell ref="A1:K1"/>
    <mergeCell ref="A2:K2"/>
    <mergeCell ref="A28:K28"/>
    <mergeCell ref="A29:K29"/>
    <mergeCell ref="A30:K30"/>
    <mergeCell ref="A31:K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12" customWidth="1"/>
    <col min="2" max="2" width="22" customWidth="1"/>
    <col min="3" max="3" width="55" customWidth="1"/>
    <col min="4" max="4" width="10" customWidth="1"/>
    <col min="5" max="5" width="30" customWidth="1"/>
  </cols>
  <sheetData>
    <row r="1" ht="35" customHeight="1" spans="1:5">
      <c r="A1" s="1" t="s">
        <v>131</v>
      </c>
    </row>
    <row r="3" ht="28" customHeight="1" spans="1:5">
      <c r="A3" s="12" t="s">
        <v>132</v>
      </c>
      <c r="B3" s="12" t="s">
        <v>133</v>
      </c>
      <c r="C3" s="12" t="s">
        <v>134</v>
      </c>
      <c r="D3" s="12" t="s">
        <v>135</v>
      </c>
      <c r="E3" s="12" t="s">
        <v>136</v>
      </c>
    </row>
    <row r="4" ht="28" customHeight="1" spans="1:5">
      <c r="A4" s="13" t="s">
        <v>137</v>
      </c>
      <c r="B4" s="13" t="s">
        <v>138</v>
      </c>
      <c r="C4" s="13" t="s">
        <v>139</v>
      </c>
      <c r="D4" s="13" t="s">
        <v>140</v>
      </c>
      <c r="E4" s="13" t="s">
        <v>141</v>
      </c>
    </row>
    <row r="5" ht="28" customHeight="1" spans="1:5">
      <c r="A5" s="14" t="s">
        <v>137</v>
      </c>
      <c r="B5" s="14" t="s">
        <v>142</v>
      </c>
      <c r="C5" s="14" t="s">
        <v>143</v>
      </c>
      <c r="D5" s="14" t="s">
        <v>144</v>
      </c>
      <c r="E5" s="14" t="s">
        <v>145</v>
      </c>
    </row>
    <row r="6" ht="28" customHeight="1" spans="1:5">
      <c r="A6" s="13" t="s">
        <v>146</v>
      </c>
      <c r="B6" s="13" t="s">
        <v>14</v>
      </c>
      <c r="C6" s="13" t="s">
        <v>147</v>
      </c>
      <c r="D6" s="13" t="s">
        <v>140</v>
      </c>
      <c r="E6" s="13" t="s">
        <v>148</v>
      </c>
    </row>
    <row r="7" ht="28" customHeight="1" spans="1:5">
      <c r="A7" s="14" t="s">
        <v>146</v>
      </c>
      <c r="B7" s="14" t="s">
        <v>15</v>
      </c>
      <c r="C7" s="14" t="s">
        <v>149</v>
      </c>
      <c r="D7" s="14" t="s">
        <v>140</v>
      </c>
      <c r="E7" s="14" t="s">
        <v>148</v>
      </c>
    </row>
    <row r="8" ht="28" customHeight="1" spans="1:5">
      <c r="A8" s="13" t="s">
        <v>146</v>
      </c>
      <c r="B8" s="13" t="s">
        <v>16</v>
      </c>
      <c r="C8" s="13" t="s">
        <v>149</v>
      </c>
      <c r="D8" s="13" t="s">
        <v>140</v>
      </c>
      <c r="E8" s="13" t="s">
        <v>148</v>
      </c>
    </row>
    <row r="9" ht="28" customHeight="1" spans="1:5">
      <c r="A9" s="14" t="s">
        <v>146</v>
      </c>
      <c r="B9" s="14" t="s">
        <v>17</v>
      </c>
      <c r="C9" s="14" t="s">
        <v>150</v>
      </c>
      <c r="D9" s="14" t="s">
        <v>144</v>
      </c>
      <c r="E9" s="14" t="s">
        <v>145</v>
      </c>
    </row>
    <row r="10" ht="28" customHeight="1" spans="1:5">
      <c r="A10" s="13" t="s">
        <v>146</v>
      </c>
      <c r="B10" s="13" t="s">
        <v>18</v>
      </c>
      <c r="C10" s="13" t="s">
        <v>151</v>
      </c>
      <c r="D10" s="13" t="s">
        <v>140</v>
      </c>
      <c r="E10" s="13" t="s">
        <v>139</v>
      </c>
    </row>
    <row r="11" ht="28" customHeight="1" spans="1:5">
      <c r="A11" s="14" t="s">
        <v>146</v>
      </c>
      <c r="B11" s="14" t="s">
        <v>19</v>
      </c>
      <c r="C11" s="14" t="s">
        <v>152</v>
      </c>
      <c r="D11" s="14" t="s">
        <v>140</v>
      </c>
      <c r="E11" s="14" t="s">
        <v>139</v>
      </c>
    </row>
    <row r="12" ht="28" customHeight="1" spans="1:5">
      <c r="A12" s="13" t="s">
        <v>153</v>
      </c>
      <c r="B12" s="13" t="s">
        <v>20</v>
      </c>
      <c r="C12" s="13" t="s">
        <v>154</v>
      </c>
      <c r="D12" s="13" t="s">
        <v>140</v>
      </c>
      <c r="E12" s="13" t="s">
        <v>155</v>
      </c>
    </row>
    <row r="13" ht="28" customHeight="1" spans="1:5">
      <c r="A13" s="14" t="s">
        <v>153</v>
      </c>
      <c r="B13" s="14" t="s">
        <v>21</v>
      </c>
      <c r="C13" s="14" t="s">
        <v>154</v>
      </c>
      <c r="D13" s="14" t="s">
        <v>140</v>
      </c>
      <c r="E13" s="14" t="s">
        <v>139</v>
      </c>
    </row>
    <row r="14" ht="28" customHeight="1" spans="1:5">
      <c r="A14" s="13" t="s">
        <v>153</v>
      </c>
      <c r="B14" s="13" t="s">
        <v>22</v>
      </c>
      <c r="C14" s="13" t="s">
        <v>154</v>
      </c>
      <c r="D14" s="13" t="s">
        <v>140</v>
      </c>
      <c r="E14" s="13" t="s">
        <v>139</v>
      </c>
    </row>
    <row r="15" ht="28" customHeight="1" spans="1:5">
      <c r="A15" s="14" t="s">
        <v>153</v>
      </c>
      <c r="B15" s="14" t="s">
        <v>23</v>
      </c>
      <c r="C15" s="14" t="s">
        <v>156</v>
      </c>
      <c r="D15" s="14" t="s">
        <v>140</v>
      </c>
      <c r="E15" s="14" t="s">
        <v>148</v>
      </c>
    </row>
    <row r="16" ht="28" customHeight="1" spans="1:5">
      <c r="A16" s="13" t="s">
        <v>153</v>
      </c>
      <c r="B16" s="13" t="s">
        <v>24</v>
      </c>
      <c r="C16" s="13" t="s">
        <v>157</v>
      </c>
      <c r="D16" s="13" t="s">
        <v>144</v>
      </c>
      <c r="E16" s="13" t="s">
        <v>145</v>
      </c>
    </row>
    <row r="17" ht="28" customHeight="1" spans="1:5">
      <c r="A17" s="14" t="s">
        <v>158</v>
      </c>
      <c r="B17" s="14" t="s">
        <v>25</v>
      </c>
      <c r="C17" s="14" t="s">
        <v>156</v>
      </c>
      <c r="D17" s="14" t="s">
        <v>140</v>
      </c>
      <c r="E17" s="14" t="s">
        <v>148</v>
      </c>
    </row>
    <row r="18" ht="28" customHeight="1" spans="1:5">
      <c r="A18" s="13" t="s">
        <v>158</v>
      </c>
      <c r="B18" s="13" t="s">
        <v>26</v>
      </c>
      <c r="C18" s="13" t="s">
        <v>149</v>
      </c>
      <c r="D18" s="13" t="s">
        <v>140</v>
      </c>
      <c r="E18" s="13" t="s">
        <v>148</v>
      </c>
    </row>
    <row r="19" ht="28" customHeight="1" spans="1:5">
      <c r="A19" s="14" t="s">
        <v>158</v>
      </c>
      <c r="B19" s="14" t="s">
        <v>27</v>
      </c>
      <c r="C19" s="14" t="s">
        <v>149</v>
      </c>
      <c r="D19" s="14" t="s">
        <v>140</v>
      </c>
      <c r="E19" s="14" t="s">
        <v>148</v>
      </c>
    </row>
    <row r="20" ht="28" customHeight="1" spans="1:5">
      <c r="A20" s="13" t="s">
        <v>158</v>
      </c>
      <c r="B20" s="13" t="s">
        <v>28</v>
      </c>
      <c r="C20" s="13" t="s">
        <v>159</v>
      </c>
      <c r="D20" s="13" t="s">
        <v>144</v>
      </c>
      <c r="E20" s="13" t="s">
        <v>145</v>
      </c>
    </row>
    <row r="21" ht="28" customHeight="1" spans="1:5">
      <c r="A21" s="14" t="s">
        <v>158</v>
      </c>
      <c r="B21" s="14" t="s">
        <v>29</v>
      </c>
      <c r="C21" s="14" t="s">
        <v>160</v>
      </c>
      <c r="D21" s="14" t="s">
        <v>140</v>
      </c>
      <c r="E21" s="14" t="s">
        <v>139</v>
      </c>
    </row>
    <row r="22" ht="28" customHeight="1" spans="1:5">
      <c r="A22" s="13" t="s">
        <v>161</v>
      </c>
      <c r="B22" s="13" t="s">
        <v>30</v>
      </c>
      <c r="C22" s="13" t="s">
        <v>162</v>
      </c>
      <c r="D22" s="13" t="s">
        <v>140</v>
      </c>
      <c r="E22" s="13" t="s">
        <v>139</v>
      </c>
    </row>
    <row r="23" ht="28" customHeight="1" spans="1:5">
      <c r="A23" s="14" t="s">
        <v>161</v>
      </c>
      <c r="B23" s="14" t="s">
        <v>31</v>
      </c>
      <c r="C23" s="14" t="s">
        <v>163</v>
      </c>
      <c r="D23" s="14" t="s">
        <v>140</v>
      </c>
      <c r="E23" s="14" t="s">
        <v>164</v>
      </c>
    </row>
    <row r="24" ht="28" customHeight="1" spans="1:5">
      <c r="A24" s="13" t="s">
        <v>161</v>
      </c>
      <c r="B24" s="13" t="s">
        <v>32</v>
      </c>
      <c r="C24" s="13" t="s">
        <v>165</v>
      </c>
      <c r="D24" s="13" t="s">
        <v>144</v>
      </c>
      <c r="E24" s="13" t="s">
        <v>145</v>
      </c>
    </row>
    <row r="25" ht="28" customHeight="1" spans="1:5">
      <c r="A25" s="14" t="s">
        <v>161</v>
      </c>
      <c r="B25" s="14" t="s">
        <v>33</v>
      </c>
      <c r="C25" s="14" t="s">
        <v>160</v>
      </c>
      <c r="D25" s="14" t="s">
        <v>140</v>
      </c>
      <c r="E25" s="14" t="s">
        <v>139</v>
      </c>
    </row>
    <row r="26" ht="28" customHeight="1" spans="1:5">
      <c r="A26" s="13" t="s">
        <v>161</v>
      </c>
      <c r="B26" s="13" t="s">
        <v>34</v>
      </c>
      <c r="C26" s="13" t="s">
        <v>166</v>
      </c>
      <c r="D26" s="13" t="s">
        <v>144</v>
      </c>
      <c r="E26" s="13" t="s">
        <v>145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pane ySplit="4" topLeftCell="A5" activePane="bottomLeft" state="frozen"/>
      <selection/>
      <selection pane="bottomLeft" activeCell="A18" sqref="A18"/>
    </sheetView>
  </sheetViews>
  <sheetFormatPr defaultColWidth="9" defaultRowHeight="16.8" outlineLevelCol="7"/>
  <cols>
    <col min="1" max="1" width="40" customWidth="1"/>
    <col min="2" max="2" width="12" customWidth="1"/>
    <col min="3" max="3" width="18" customWidth="1"/>
    <col min="4" max="4" width="13" customWidth="1"/>
    <col min="5" max="5" width="8" customWidth="1"/>
    <col min="6" max="6" width="9" customWidth="1"/>
    <col min="7" max="7" width="30" customWidth="1"/>
    <col min="8" max="8" width="28" customWidth="1"/>
  </cols>
  <sheetData>
    <row r="1" ht="35" customHeight="1" spans="1:8">
      <c r="A1" s="1" t="s">
        <v>167</v>
      </c>
    </row>
    <row r="2" ht="22" customHeight="1" spans="1:8">
      <c r="A2" s="2" t="s">
        <v>168</v>
      </c>
    </row>
    <row r="4" ht="30" customHeight="1" spans="1:8">
      <c r="A4" s="3" t="s">
        <v>169</v>
      </c>
      <c r="B4" s="3" t="s">
        <v>11</v>
      </c>
      <c r="C4" s="3" t="s">
        <v>13</v>
      </c>
      <c r="D4" s="3" t="s">
        <v>170</v>
      </c>
      <c r="E4" s="4" t="s">
        <v>171</v>
      </c>
      <c r="F4" s="5" t="s">
        <v>172</v>
      </c>
      <c r="G4" s="6" t="s">
        <v>173</v>
      </c>
      <c r="H4" s="7" t="s">
        <v>174</v>
      </c>
    </row>
    <row r="5" ht="28" customHeight="1" spans="1:8">
      <c r="A5" s="8" t="s">
        <v>175</v>
      </c>
      <c r="B5" s="8" t="s">
        <v>78</v>
      </c>
      <c r="C5" s="8" t="s">
        <v>176</v>
      </c>
      <c r="D5" s="8" t="s">
        <v>38</v>
      </c>
      <c r="E5" s="8" t="s">
        <v>177</v>
      </c>
      <c r="F5" s="8" t="s">
        <v>178</v>
      </c>
      <c r="G5" s="8" t="s">
        <v>179</v>
      </c>
      <c r="H5" s="8" t="s">
        <v>180</v>
      </c>
    </row>
    <row r="6" ht="28" customHeight="1" spans="1:8">
      <c r="A6" s="8" t="s">
        <v>181</v>
      </c>
      <c r="B6" s="8" t="s">
        <v>37</v>
      </c>
      <c r="C6" s="8" t="s">
        <v>182</v>
      </c>
      <c r="D6" s="8" t="s">
        <v>38</v>
      </c>
      <c r="E6" s="8" t="s">
        <v>177</v>
      </c>
      <c r="F6" s="8" t="s">
        <v>178</v>
      </c>
      <c r="G6" s="8" t="s">
        <v>183</v>
      </c>
      <c r="H6" s="8" t="s">
        <v>184</v>
      </c>
    </row>
    <row r="7" ht="28" customHeight="1" spans="1:8">
      <c r="A7" s="8" t="s">
        <v>185</v>
      </c>
      <c r="B7" s="8" t="s">
        <v>62</v>
      </c>
      <c r="C7" s="8" t="s">
        <v>186</v>
      </c>
      <c r="D7" s="8" t="s">
        <v>38</v>
      </c>
      <c r="E7" s="8" t="s">
        <v>177</v>
      </c>
      <c r="F7" s="8" t="s">
        <v>187</v>
      </c>
      <c r="G7" s="8" t="s">
        <v>40</v>
      </c>
      <c r="H7" s="8" t="s">
        <v>40</v>
      </c>
    </row>
    <row r="8" ht="28" customHeight="1" spans="1:8">
      <c r="A8" s="8" t="s">
        <v>188</v>
      </c>
      <c r="B8" s="8" t="s">
        <v>37</v>
      </c>
      <c r="C8" s="8" t="s">
        <v>189</v>
      </c>
      <c r="D8" s="8" t="s">
        <v>38</v>
      </c>
      <c r="E8" s="8" t="s">
        <v>177</v>
      </c>
      <c r="F8" s="8" t="s">
        <v>187</v>
      </c>
      <c r="G8" s="8" t="s">
        <v>40</v>
      </c>
      <c r="H8" s="8" t="s">
        <v>40</v>
      </c>
    </row>
    <row r="9" ht="28" customHeight="1" spans="1:8">
      <c r="A9" s="8" t="s">
        <v>190</v>
      </c>
      <c r="B9" s="8" t="s">
        <v>78</v>
      </c>
      <c r="C9" s="8" t="s">
        <v>186</v>
      </c>
      <c r="D9" s="8" t="s">
        <v>38</v>
      </c>
      <c r="E9" s="8" t="s">
        <v>177</v>
      </c>
      <c r="F9" s="8" t="s">
        <v>187</v>
      </c>
      <c r="G9" s="8" t="s">
        <v>40</v>
      </c>
      <c r="H9" s="8" t="s">
        <v>40</v>
      </c>
    </row>
    <row r="10" ht="28" customHeight="1" spans="1:8">
      <c r="A10" s="8" t="s">
        <v>191</v>
      </c>
      <c r="B10" s="8" t="s">
        <v>93</v>
      </c>
      <c r="C10" s="8" t="s">
        <v>192</v>
      </c>
      <c r="D10" s="8" t="s">
        <v>38</v>
      </c>
      <c r="E10" s="8" t="s">
        <v>193</v>
      </c>
      <c r="F10" s="8" t="s">
        <v>187</v>
      </c>
      <c r="G10" s="8" t="s">
        <v>40</v>
      </c>
      <c r="H10" s="8" t="s">
        <v>40</v>
      </c>
    </row>
    <row r="11" ht="28" customHeight="1" spans="1:8">
      <c r="A11" s="8" t="s">
        <v>194</v>
      </c>
      <c r="B11" s="8" t="s">
        <v>62</v>
      </c>
      <c r="C11" s="8" t="s">
        <v>63</v>
      </c>
      <c r="D11" s="8" t="s">
        <v>72</v>
      </c>
      <c r="E11" s="8" t="s">
        <v>193</v>
      </c>
      <c r="F11" s="8" t="s">
        <v>187</v>
      </c>
      <c r="G11" s="8" t="s">
        <v>40</v>
      </c>
      <c r="H11" s="8" t="s">
        <v>40</v>
      </c>
    </row>
    <row r="12" ht="28" customHeight="1" spans="1:8">
      <c r="A12" s="8" t="s">
        <v>195</v>
      </c>
      <c r="B12" s="8" t="s">
        <v>115</v>
      </c>
      <c r="C12" s="8" t="s">
        <v>71</v>
      </c>
      <c r="D12" s="8" t="s">
        <v>72</v>
      </c>
      <c r="E12" s="8" t="s">
        <v>196</v>
      </c>
      <c r="F12" s="8" t="s">
        <v>187</v>
      </c>
      <c r="G12" s="8" t="s">
        <v>40</v>
      </c>
      <c r="H12" s="8" t="s">
        <v>40</v>
      </c>
    </row>
    <row r="13" ht="28" customHeight="1" spans="1:8">
      <c r="A13" s="8" t="s">
        <v>197</v>
      </c>
      <c r="B13" s="8" t="s">
        <v>78</v>
      </c>
      <c r="C13" s="8" t="s">
        <v>176</v>
      </c>
      <c r="D13" s="8" t="s">
        <v>38</v>
      </c>
      <c r="E13" s="8" t="s">
        <v>177</v>
      </c>
      <c r="F13" s="8" t="s">
        <v>187</v>
      </c>
      <c r="G13" s="8" t="s">
        <v>40</v>
      </c>
      <c r="H13" s="8" t="s">
        <v>40</v>
      </c>
    </row>
    <row r="14" ht="28" customHeight="1" spans="1:8">
      <c r="A14" s="8" t="s">
        <v>198</v>
      </c>
      <c r="B14" s="8" t="s">
        <v>37</v>
      </c>
      <c r="C14" s="8" t="s">
        <v>39</v>
      </c>
      <c r="D14" s="8" t="s">
        <v>38</v>
      </c>
      <c r="E14" s="8" t="s">
        <v>193</v>
      </c>
      <c r="F14" s="8" t="s">
        <v>187</v>
      </c>
      <c r="G14" s="8" t="s">
        <v>40</v>
      </c>
      <c r="H14" s="8" t="s">
        <v>40</v>
      </c>
    </row>
    <row r="15" ht="24" customHeight="1" spans="1:8">
      <c r="A15" s="9" t="s">
        <v>40</v>
      </c>
      <c r="B15" s="9" t="s">
        <v>40</v>
      </c>
      <c r="C15" s="9" t="s">
        <v>40</v>
      </c>
      <c r="D15" s="9" t="s">
        <v>40</v>
      </c>
      <c r="E15" s="9" t="s">
        <v>40</v>
      </c>
      <c r="F15" s="9" t="s">
        <v>40</v>
      </c>
      <c r="G15" s="9" t="s">
        <v>40</v>
      </c>
      <c r="H15" s="9" t="s">
        <v>40</v>
      </c>
    </row>
    <row r="16" ht="24" customHeight="1" spans="1:8">
      <c r="A16" s="9" t="s">
        <v>40</v>
      </c>
      <c r="B16" s="9" t="s">
        <v>40</v>
      </c>
      <c r="C16" s="9" t="s">
        <v>40</v>
      </c>
      <c r="D16" s="9" t="s">
        <v>40</v>
      </c>
      <c r="E16" s="9" t="s">
        <v>40</v>
      </c>
      <c r="F16" s="9" t="s">
        <v>40</v>
      </c>
      <c r="G16" s="9" t="s">
        <v>40</v>
      </c>
      <c r="H16" s="9" t="s">
        <v>40</v>
      </c>
    </row>
    <row r="17" ht="24" customHeight="1" spans="1:8">
      <c r="A17" s="9" t="s">
        <v>40</v>
      </c>
      <c r="B17" s="9" t="s">
        <v>40</v>
      </c>
      <c r="C17" s="9" t="s">
        <v>40</v>
      </c>
      <c r="D17" s="9" t="s">
        <v>40</v>
      </c>
      <c r="E17" s="9" t="s">
        <v>40</v>
      </c>
      <c r="F17" s="9" t="s">
        <v>40</v>
      </c>
      <c r="G17" s="9" t="s">
        <v>40</v>
      </c>
      <c r="H17" s="9" t="s">
        <v>40</v>
      </c>
    </row>
    <row r="18" ht="24" customHeight="1" spans="1:8">
      <c r="A18" s="9" t="s">
        <v>40</v>
      </c>
      <c r="B18" s="9" t="s">
        <v>40</v>
      </c>
      <c r="C18" s="9" t="s">
        <v>40</v>
      </c>
      <c r="D18" s="9" t="s">
        <v>40</v>
      </c>
      <c r="E18" s="9" t="s">
        <v>40</v>
      </c>
      <c r="F18" s="9" t="s">
        <v>40</v>
      </c>
      <c r="G18" s="9" t="s">
        <v>40</v>
      </c>
      <c r="H18" s="9" t="s">
        <v>40</v>
      </c>
    </row>
    <row r="19" ht="24" customHeight="1" spans="1:8">
      <c r="A19" s="9" t="s">
        <v>40</v>
      </c>
      <c r="B19" s="9" t="s">
        <v>40</v>
      </c>
      <c r="C19" s="9" t="s">
        <v>40</v>
      </c>
      <c r="D19" s="9" t="s">
        <v>40</v>
      </c>
      <c r="E19" s="9" t="s">
        <v>40</v>
      </c>
      <c r="F19" s="9" t="s">
        <v>40</v>
      </c>
      <c r="G19" s="9" t="s">
        <v>40</v>
      </c>
      <c r="H19" s="9" t="s">
        <v>40</v>
      </c>
    </row>
    <row r="20" ht="24" customHeight="1" spans="1:8">
      <c r="A20" s="9" t="s">
        <v>40</v>
      </c>
      <c r="B20" s="9" t="s">
        <v>40</v>
      </c>
      <c r="C20" s="9" t="s">
        <v>40</v>
      </c>
      <c r="D20" s="9" t="s">
        <v>40</v>
      </c>
      <c r="E20" s="9" t="s">
        <v>40</v>
      </c>
      <c r="F20" s="9" t="s">
        <v>40</v>
      </c>
      <c r="G20" s="9" t="s">
        <v>40</v>
      </c>
      <c r="H20" s="9" t="s">
        <v>40</v>
      </c>
    </row>
    <row r="21" ht="24" customHeight="1" spans="1:8">
      <c r="A21" s="9" t="s">
        <v>40</v>
      </c>
      <c r="B21" s="9" t="s">
        <v>40</v>
      </c>
      <c r="C21" s="9" t="s">
        <v>40</v>
      </c>
      <c r="D21" s="9" t="s">
        <v>40</v>
      </c>
      <c r="E21" s="9" t="s">
        <v>40</v>
      </c>
      <c r="F21" s="9" t="s">
        <v>40</v>
      </c>
      <c r="G21" s="9" t="s">
        <v>40</v>
      </c>
      <c r="H21" s="9" t="s">
        <v>40</v>
      </c>
    </row>
    <row r="22" ht="24" customHeight="1" spans="1:8">
      <c r="A22" s="9" t="s">
        <v>40</v>
      </c>
      <c r="B22" s="9" t="s">
        <v>40</v>
      </c>
      <c r="C22" s="9" t="s">
        <v>40</v>
      </c>
      <c r="D22" s="9" t="s">
        <v>40</v>
      </c>
      <c r="E22" s="9" t="s">
        <v>40</v>
      </c>
      <c r="F22" s="9" t="s">
        <v>40</v>
      </c>
      <c r="G22" s="9" t="s">
        <v>40</v>
      </c>
      <c r="H22" s="9" t="s">
        <v>40</v>
      </c>
    </row>
    <row r="23" ht="24" customHeight="1" spans="1:8">
      <c r="A23" s="9" t="s">
        <v>40</v>
      </c>
      <c r="B23" s="9" t="s">
        <v>40</v>
      </c>
      <c r="C23" s="9" t="s">
        <v>40</v>
      </c>
      <c r="D23" s="9" t="s">
        <v>40</v>
      </c>
      <c r="E23" s="9" t="s">
        <v>40</v>
      </c>
      <c r="F23" s="9" t="s">
        <v>40</v>
      </c>
      <c r="G23" s="9" t="s">
        <v>40</v>
      </c>
      <c r="H23" s="9" t="s">
        <v>40</v>
      </c>
    </row>
    <row r="24" ht="24" customHeight="1" spans="1:8">
      <c r="A24" s="9" t="s">
        <v>40</v>
      </c>
      <c r="B24" s="9" t="s">
        <v>40</v>
      </c>
      <c r="C24" s="9" t="s">
        <v>40</v>
      </c>
      <c r="D24" s="9" t="s">
        <v>40</v>
      </c>
      <c r="E24" s="9" t="s">
        <v>40</v>
      </c>
      <c r="F24" s="9" t="s">
        <v>40</v>
      </c>
      <c r="G24" s="9" t="s">
        <v>40</v>
      </c>
      <c r="H24" s="9" t="s">
        <v>40</v>
      </c>
    </row>
    <row r="25" ht="24" customHeight="1" spans="1:8">
      <c r="A25" s="9" t="s">
        <v>40</v>
      </c>
      <c r="B25" s="9" t="s">
        <v>40</v>
      </c>
      <c r="C25" s="9" t="s">
        <v>40</v>
      </c>
      <c r="D25" s="9" t="s">
        <v>40</v>
      </c>
      <c r="E25" s="9" t="s">
        <v>40</v>
      </c>
      <c r="F25" s="9" t="s">
        <v>40</v>
      </c>
      <c r="G25" s="9" t="s">
        <v>40</v>
      </c>
      <c r="H25" s="9" t="s">
        <v>40</v>
      </c>
    </row>
    <row r="28" spans="1:8">
      <c r="A28" s="10" t="s">
        <v>127</v>
      </c>
    </row>
    <row r="29" ht="20" customHeight="1" spans="1:8">
      <c r="A29" s="11" t="s">
        <v>199</v>
      </c>
    </row>
    <row r="30" ht="20" customHeight="1" spans="1:8">
      <c r="A30" s="11" t="s">
        <v>200</v>
      </c>
    </row>
    <row r="31" ht="20" customHeight="1" spans="1:8">
      <c r="A31" s="11" t="s">
        <v>201</v>
      </c>
    </row>
  </sheetData>
  <mergeCells count="6">
    <mergeCell ref="A1:H1"/>
    <mergeCell ref="A2:H2"/>
    <mergeCell ref="A28:H28"/>
    <mergeCell ref="A29:H29"/>
    <mergeCell ref="A30:H30"/>
    <mergeCell ref="A31:H31"/>
  </mergeCells>
  <dataValidations count="2">
    <dataValidation type="list" allowBlank="1" sqref="E5:E25">
      <formula1>"高,中,低"</formula1>
    </dataValidation>
    <dataValidation type="list" allowBlank="1" sqref="F5:F25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文章数据记录</vt:lpstr>
      <vt:lpstr>方向×价值类型透视</vt:lpstr>
      <vt:lpstr>数据收集指南</vt:lpstr>
      <vt:lpstr>选题库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付先森</cp:lastModifiedBy>
  <dcterms:created xsi:type="dcterms:W3CDTF">2026-09-17T12:05:00Z</dcterms:created>
  <dcterms:modified xsi:type="dcterms:W3CDTF">2026-09-19T20:44:40Z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B80DE782B7508C18B883AE6ABFF98C65_42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